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ajavierv_emeal_nttdata_com/Documents/Documentos/Proyectos NTT/Profuturo/OSS/"/>
    </mc:Choice>
  </mc:AlternateContent>
  <xr:revisionPtr revIDLastSave="1060" documentId="8_{DEB5BD39-C99D-4874-818A-5ACDA92828F0}" xr6:coauthVersionLast="47" xr6:coauthVersionMax="47" xr10:uidLastSave="{7D04FB47-8E62-4DC2-A644-FB607DAF2FC6}"/>
  <bookViews>
    <workbookView xWindow="-108" yWindow="-108" windowWidth="23256" windowHeight="12456" tabRatio="702" xr2:uid="{37474D98-E6CC-49C3-9CD0-844FB87E27BB}"/>
  </bookViews>
  <sheets>
    <sheet name="Informe" sheetId="1" r:id="rId1"/>
    <sheet name="Contabilidad" sheetId="9" r:id="rId2"/>
    <sheet name="Hallazgos" sheetId="5" r:id="rId3"/>
    <sheet name="Acuerdos" sheetId="3" r:id="rId4"/>
    <sheet name="Documentacion" sheetId="4" r:id="rId5"/>
    <sheet name="Reuniones" sheetId="6" r:id="rId6"/>
    <sheet name="Decisiones" sheetId="7" r:id="rId7"/>
    <sheet name="Catalogos" sheetId="2" r:id="rId8"/>
  </sheets>
  <definedNames>
    <definedName name="FechaInicioReporte">Informe!$F$4</definedName>
    <definedName name="NombreProyecto">Informe!$G$3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" i="9" l="1"/>
  <c r="D31" i="9"/>
  <c r="D32" i="9"/>
  <c r="D33" i="9"/>
  <c r="C30" i="9"/>
  <c r="C31" i="9"/>
  <c r="C32" i="9"/>
  <c r="C33" i="9"/>
  <c r="B30" i="9"/>
  <c r="B31" i="9"/>
  <c r="B32" i="9"/>
  <c r="B33" i="9"/>
  <c r="B3" i="9"/>
  <c r="E21" i="9"/>
  <c r="E22" i="9"/>
  <c r="E23" i="9"/>
  <c r="E24" i="9"/>
  <c r="D21" i="9"/>
  <c r="D22" i="9"/>
  <c r="D23" i="9"/>
  <c r="D24" i="9"/>
  <c r="C21" i="9"/>
  <c r="C22" i="9"/>
  <c r="C23" i="9"/>
  <c r="C24" i="9"/>
  <c r="B21" i="9"/>
  <c r="B22" i="9"/>
  <c r="B23" i="9"/>
  <c r="B24" i="9"/>
  <c r="F24" i="9" s="1"/>
  <c r="G24" i="9" s="1"/>
  <c r="C16" i="9"/>
  <c r="D16" i="9"/>
  <c r="A4" i="3"/>
  <c r="A3" i="3"/>
  <c r="F12" i="9"/>
  <c r="F16" i="9" s="1"/>
  <c r="F13" i="9"/>
  <c r="F14" i="9"/>
  <c r="F15" i="9"/>
  <c r="E12" i="9"/>
  <c r="E13" i="9"/>
  <c r="E14" i="9"/>
  <c r="E16" i="9" s="1"/>
  <c r="E15" i="9"/>
  <c r="D12" i="9"/>
  <c r="D13" i="9"/>
  <c r="D14" i="9"/>
  <c r="D15" i="9"/>
  <c r="C12" i="9"/>
  <c r="C13" i="9"/>
  <c r="C14" i="9"/>
  <c r="C15" i="9"/>
  <c r="B12" i="9"/>
  <c r="B13" i="9"/>
  <c r="B14" i="9"/>
  <c r="B15" i="9"/>
  <c r="G15" i="9" s="1"/>
  <c r="H15" i="9" s="1"/>
  <c r="F6" i="9"/>
  <c r="E6" i="9"/>
  <c r="D6" i="9"/>
  <c r="C6" i="9"/>
  <c r="B6" i="9"/>
  <c r="F5" i="9"/>
  <c r="E5" i="9"/>
  <c r="D5" i="9"/>
  <c r="C5" i="9"/>
  <c r="B5" i="9"/>
  <c r="F4" i="9"/>
  <c r="E4" i="9"/>
  <c r="D4" i="9"/>
  <c r="C4" i="9"/>
  <c r="B4" i="9"/>
  <c r="F3" i="9"/>
  <c r="E3" i="9"/>
  <c r="D3" i="9"/>
  <c r="C3" i="9"/>
  <c r="P4" i="1"/>
  <c r="F21" i="9" l="1"/>
  <c r="G21" i="9" s="1"/>
  <c r="B16" i="9"/>
  <c r="G12" i="9"/>
  <c r="E32" i="9"/>
  <c r="F32" i="9" s="1"/>
  <c r="F23" i="9"/>
  <c r="G23" i="9" s="1"/>
  <c r="E31" i="9"/>
  <c r="F31" i="9" s="1"/>
  <c r="E33" i="9"/>
  <c r="F33" i="9" s="1"/>
  <c r="F22" i="9"/>
  <c r="B34" i="9"/>
  <c r="E30" i="9"/>
  <c r="F30" i="9" s="1"/>
  <c r="E25" i="9"/>
  <c r="B25" i="9"/>
  <c r="C25" i="9"/>
  <c r="D25" i="9"/>
  <c r="G14" i="9"/>
  <c r="H14" i="9" s="1"/>
  <c r="G13" i="9"/>
  <c r="H13" i="9" s="1"/>
  <c r="G4" i="9"/>
  <c r="H4" i="9" s="1"/>
  <c r="G5" i="9"/>
  <c r="H5" i="9" s="1"/>
  <c r="B7" i="9"/>
  <c r="F25" i="9" l="1"/>
  <c r="G22" i="9"/>
  <c r="H12" i="9"/>
  <c r="G16" i="9"/>
  <c r="G6" i="9"/>
  <c r="H6" i="9" s="1"/>
  <c r="G3" i="9"/>
  <c r="H3" i="9" s="1"/>
  <c r="C7" i="9"/>
  <c r="D7" i="9"/>
  <c r="F7" i="9" l="1"/>
  <c r="E7" i="9"/>
  <c r="G7" i="9" l="1"/>
  <c r="A5" i="5" l="1"/>
  <c r="A4" i="5"/>
  <c r="A3" i="5"/>
  <c r="K97" i="4"/>
  <c r="K94" i="4"/>
  <c r="K93" i="4"/>
  <c r="K92" i="4"/>
  <c r="K89" i="4"/>
  <c r="K85" i="4"/>
  <c r="K82" i="4"/>
  <c r="K81" i="4"/>
  <c r="K80" i="4"/>
  <c r="K77" i="4"/>
  <c r="K73" i="4"/>
  <c r="K70" i="4"/>
  <c r="K69" i="4"/>
  <c r="K68" i="4"/>
  <c r="K65" i="4"/>
  <c r="K61" i="4"/>
  <c r="K58" i="4"/>
  <c r="K57" i="4"/>
  <c r="K56" i="4"/>
  <c r="K53" i="4"/>
  <c r="K49" i="4"/>
  <c r="K46" i="4"/>
  <c r="K45" i="4"/>
  <c r="K44" i="4"/>
  <c r="K41" i="4"/>
  <c r="K37" i="4"/>
  <c r="K34" i="4"/>
  <c r="K33" i="4"/>
  <c r="K32" i="4"/>
  <c r="K28" i="4"/>
  <c r="K27" i="4"/>
  <c r="K22" i="4"/>
  <c r="K21" i="4"/>
  <c r="K20" i="4"/>
  <c r="K16" i="4"/>
  <c r="K15" i="4"/>
  <c r="K10" i="4"/>
  <c r="K9" i="4"/>
  <c r="K8" i="4"/>
  <c r="K4" i="4"/>
  <c r="K3" i="4"/>
  <c r="I4" i="4"/>
  <c r="I7" i="4"/>
  <c r="I8" i="4"/>
  <c r="I13" i="4"/>
  <c r="I16" i="4"/>
  <c r="I19" i="4"/>
  <c r="I20" i="4"/>
  <c r="I25" i="4"/>
  <c r="I28" i="4"/>
  <c r="I31" i="4"/>
  <c r="I32" i="4"/>
  <c r="I37" i="4"/>
  <c r="I41" i="4"/>
  <c r="I42" i="4"/>
  <c r="I44" i="4"/>
  <c r="I49" i="4"/>
  <c r="I53" i="4"/>
  <c r="I54" i="4"/>
  <c r="I56" i="4"/>
  <c r="I61" i="4"/>
  <c r="I65" i="4"/>
  <c r="I66" i="4"/>
  <c r="I68" i="4"/>
  <c r="I73" i="4"/>
  <c r="I77" i="4"/>
  <c r="I78" i="4"/>
  <c r="I80" i="4"/>
  <c r="I85" i="4"/>
  <c r="I89" i="4"/>
  <c r="I90" i="4"/>
  <c r="I92" i="4"/>
  <c r="I97" i="4"/>
  <c r="I101" i="4"/>
  <c r="I102" i="4"/>
  <c r="E103" i="4"/>
  <c r="K103" i="4" s="1"/>
  <c r="D103" i="4"/>
  <c r="A103" i="4"/>
  <c r="E102" i="4"/>
  <c r="K102" i="4" s="1"/>
  <c r="D102" i="4"/>
  <c r="A102" i="4"/>
  <c r="E101" i="4"/>
  <c r="K101" i="4" s="1"/>
  <c r="D101" i="4"/>
  <c r="A101" i="4"/>
  <c r="E100" i="4"/>
  <c r="K100" i="4" s="1"/>
  <c r="D100" i="4"/>
  <c r="A100" i="4"/>
  <c r="E99" i="4"/>
  <c r="K99" i="4" s="1"/>
  <c r="D99" i="4"/>
  <c r="A99" i="4"/>
  <c r="E98" i="4"/>
  <c r="K98" i="4" s="1"/>
  <c r="D98" i="4"/>
  <c r="A98" i="4"/>
  <c r="E97" i="4"/>
  <c r="D97" i="4"/>
  <c r="A97" i="4"/>
  <c r="E96" i="4"/>
  <c r="I96" i="4" s="1"/>
  <c r="D96" i="4"/>
  <c r="A96" i="4"/>
  <c r="E95" i="4"/>
  <c r="I95" i="4" s="1"/>
  <c r="D95" i="4"/>
  <c r="A95" i="4"/>
  <c r="E94" i="4"/>
  <c r="I94" i="4" s="1"/>
  <c r="D94" i="4"/>
  <c r="A94" i="4"/>
  <c r="E93" i="4"/>
  <c r="I93" i="4" s="1"/>
  <c r="D93" i="4"/>
  <c r="A93" i="4"/>
  <c r="E92" i="4"/>
  <c r="D92" i="4"/>
  <c r="A92" i="4"/>
  <c r="E91" i="4"/>
  <c r="K91" i="4" s="1"/>
  <c r="D91" i="4"/>
  <c r="A91" i="4"/>
  <c r="E90" i="4"/>
  <c r="K90" i="4" s="1"/>
  <c r="D90" i="4"/>
  <c r="A90" i="4"/>
  <c r="E89" i="4"/>
  <c r="D89" i="4"/>
  <c r="A89" i="4"/>
  <c r="E88" i="4"/>
  <c r="K88" i="4" s="1"/>
  <c r="D88" i="4"/>
  <c r="A88" i="4"/>
  <c r="E87" i="4"/>
  <c r="K87" i="4" s="1"/>
  <c r="D87" i="4"/>
  <c r="A87" i="4"/>
  <c r="E86" i="4"/>
  <c r="K86" i="4" s="1"/>
  <c r="D86" i="4"/>
  <c r="A86" i="4"/>
  <c r="E85" i="4"/>
  <c r="D85" i="4"/>
  <c r="A85" i="4"/>
  <c r="E84" i="4"/>
  <c r="I84" i="4" s="1"/>
  <c r="D84" i="4"/>
  <c r="A84" i="4"/>
  <c r="E83" i="4"/>
  <c r="I83" i="4" s="1"/>
  <c r="D83" i="4"/>
  <c r="A83" i="4"/>
  <c r="E82" i="4"/>
  <c r="I82" i="4" s="1"/>
  <c r="D82" i="4"/>
  <c r="A82" i="4"/>
  <c r="E81" i="4"/>
  <c r="I81" i="4" s="1"/>
  <c r="D81" i="4"/>
  <c r="A81" i="4"/>
  <c r="E80" i="4"/>
  <c r="D80" i="4"/>
  <c r="A80" i="4"/>
  <c r="E79" i="4"/>
  <c r="K79" i="4" s="1"/>
  <c r="D79" i="4"/>
  <c r="A79" i="4"/>
  <c r="E78" i="4"/>
  <c r="K78" i="4" s="1"/>
  <c r="D78" i="4"/>
  <c r="A78" i="4"/>
  <c r="E77" i="4"/>
  <c r="D77" i="4"/>
  <c r="A77" i="4"/>
  <c r="E76" i="4"/>
  <c r="K76" i="4" s="1"/>
  <c r="D76" i="4"/>
  <c r="A76" i="4"/>
  <c r="E75" i="4"/>
  <c r="K75" i="4" s="1"/>
  <c r="D75" i="4"/>
  <c r="A75" i="4"/>
  <c r="E74" i="4"/>
  <c r="K74" i="4" s="1"/>
  <c r="D74" i="4"/>
  <c r="A74" i="4"/>
  <c r="E73" i="4"/>
  <c r="D73" i="4"/>
  <c r="A73" i="4"/>
  <c r="E72" i="4"/>
  <c r="I72" i="4" s="1"/>
  <c r="D72" i="4"/>
  <c r="A72" i="4"/>
  <c r="E71" i="4"/>
  <c r="I71" i="4" s="1"/>
  <c r="D71" i="4"/>
  <c r="A71" i="4"/>
  <c r="E70" i="4"/>
  <c r="I70" i="4" s="1"/>
  <c r="D70" i="4"/>
  <c r="A70" i="4"/>
  <c r="E69" i="4"/>
  <c r="I69" i="4" s="1"/>
  <c r="D69" i="4"/>
  <c r="A69" i="4"/>
  <c r="E68" i="4"/>
  <c r="D68" i="4"/>
  <c r="A68" i="4"/>
  <c r="E67" i="4"/>
  <c r="K67" i="4" s="1"/>
  <c r="D67" i="4"/>
  <c r="A67" i="4"/>
  <c r="E66" i="4"/>
  <c r="K66" i="4" s="1"/>
  <c r="D66" i="4"/>
  <c r="A66" i="4"/>
  <c r="E65" i="4"/>
  <c r="D65" i="4"/>
  <c r="A65" i="4"/>
  <c r="E64" i="4"/>
  <c r="K64" i="4" s="1"/>
  <c r="D64" i="4"/>
  <c r="A64" i="4"/>
  <c r="E63" i="4"/>
  <c r="K63" i="4" s="1"/>
  <c r="D63" i="4"/>
  <c r="A63" i="4"/>
  <c r="E62" i="4"/>
  <c r="K62" i="4" s="1"/>
  <c r="D62" i="4"/>
  <c r="A62" i="4"/>
  <c r="E61" i="4"/>
  <c r="D61" i="4"/>
  <c r="A61" i="4"/>
  <c r="E60" i="4"/>
  <c r="I60" i="4" s="1"/>
  <c r="D60" i="4"/>
  <c r="A60" i="4"/>
  <c r="E59" i="4"/>
  <c r="I59" i="4" s="1"/>
  <c r="D59" i="4"/>
  <c r="A59" i="4"/>
  <c r="E58" i="4"/>
  <c r="I58" i="4" s="1"/>
  <c r="D58" i="4"/>
  <c r="A58" i="4"/>
  <c r="E57" i="4"/>
  <c r="I57" i="4" s="1"/>
  <c r="D57" i="4"/>
  <c r="A57" i="4"/>
  <c r="E56" i="4"/>
  <c r="D56" i="4"/>
  <c r="A56" i="4"/>
  <c r="E55" i="4"/>
  <c r="K55" i="4" s="1"/>
  <c r="D55" i="4"/>
  <c r="A55" i="4"/>
  <c r="E54" i="4"/>
  <c r="K54" i="4" s="1"/>
  <c r="D54" i="4"/>
  <c r="A54" i="4"/>
  <c r="E53" i="4"/>
  <c r="D53" i="4"/>
  <c r="A53" i="4"/>
  <c r="E52" i="4"/>
  <c r="K52" i="4" s="1"/>
  <c r="D52" i="4"/>
  <c r="A52" i="4"/>
  <c r="E51" i="4"/>
  <c r="K51" i="4" s="1"/>
  <c r="D51" i="4"/>
  <c r="A51" i="4"/>
  <c r="E50" i="4"/>
  <c r="K50" i="4" s="1"/>
  <c r="D50" i="4"/>
  <c r="A50" i="4"/>
  <c r="E49" i="4"/>
  <c r="D49" i="4"/>
  <c r="A49" i="4"/>
  <c r="E48" i="4"/>
  <c r="I48" i="4" s="1"/>
  <c r="D48" i="4"/>
  <c r="A48" i="4"/>
  <c r="E47" i="4"/>
  <c r="I47" i="4" s="1"/>
  <c r="D47" i="4"/>
  <c r="A47" i="4"/>
  <c r="E46" i="4"/>
  <c r="I46" i="4" s="1"/>
  <c r="D46" i="4"/>
  <c r="A46" i="4"/>
  <c r="E45" i="4"/>
  <c r="I45" i="4" s="1"/>
  <c r="D45" i="4"/>
  <c r="A45" i="4"/>
  <c r="E44" i="4"/>
  <c r="D44" i="4"/>
  <c r="A44" i="4"/>
  <c r="E43" i="4"/>
  <c r="K43" i="4" s="1"/>
  <c r="D43" i="4"/>
  <c r="A43" i="4"/>
  <c r="E42" i="4"/>
  <c r="K42" i="4" s="1"/>
  <c r="D42" i="4"/>
  <c r="A42" i="4"/>
  <c r="E41" i="4"/>
  <c r="D41" i="4"/>
  <c r="A41" i="4"/>
  <c r="E40" i="4"/>
  <c r="K40" i="4" s="1"/>
  <c r="D40" i="4"/>
  <c r="A40" i="4"/>
  <c r="E39" i="4"/>
  <c r="K39" i="4" s="1"/>
  <c r="D39" i="4"/>
  <c r="A39" i="4"/>
  <c r="E38" i="4"/>
  <c r="K38" i="4" s="1"/>
  <c r="D38" i="4"/>
  <c r="A38" i="4"/>
  <c r="E37" i="4"/>
  <c r="D37" i="4"/>
  <c r="A37" i="4"/>
  <c r="E36" i="4"/>
  <c r="I36" i="4" s="1"/>
  <c r="D36" i="4"/>
  <c r="A36" i="4"/>
  <c r="E35" i="4"/>
  <c r="I35" i="4" s="1"/>
  <c r="D35" i="4"/>
  <c r="E34" i="4"/>
  <c r="I34" i="4" s="1"/>
  <c r="D34" i="4"/>
  <c r="E33" i="4"/>
  <c r="I33" i="4" s="1"/>
  <c r="D33" i="4"/>
  <c r="E32" i="4"/>
  <c r="D32" i="4"/>
  <c r="E31" i="4"/>
  <c r="K31" i="4" s="1"/>
  <c r="D31" i="4"/>
  <c r="E30" i="4"/>
  <c r="K30" i="4" s="1"/>
  <c r="D30" i="4"/>
  <c r="E29" i="4"/>
  <c r="K29" i="4" s="1"/>
  <c r="D29" i="4"/>
  <c r="E28" i="4"/>
  <c r="D28" i="4"/>
  <c r="E27" i="4"/>
  <c r="I27" i="4" s="1"/>
  <c r="D27" i="4"/>
  <c r="E26" i="4"/>
  <c r="K26" i="4" s="1"/>
  <c r="D26" i="4"/>
  <c r="E25" i="4"/>
  <c r="K25" i="4" s="1"/>
  <c r="D25" i="4"/>
  <c r="E24" i="4"/>
  <c r="I24" i="4" s="1"/>
  <c r="D24" i="4"/>
  <c r="E23" i="4"/>
  <c r="I23" i="4" s="1"/>
  <c r="D23" i="4"/>
  <c r="E22" i="4"/>
  <c r="I22" i="4" s="1"/>
  <c r="D22" i="4"/>
  <c r="E21" i="4"/>
  <c r="I21" i="4" s="1"/>
  <c r="D21" i="4"/>
  <c r="E20" i="4"/>
  <c r="D20" i="4"/>
  <c r="E19" i="4"/>
  <c r="K19" i="4" s="1"/>
  <c r="D19" i="4"/>
  <c r="E18" i="4"/>
  <c r="K18" i="4" s="1"/>
  <c r="D18" i="4"/>
  <c r="E17" i="4"/>
  <c r="K17" i="4" s="1"/>
  <c r="D17" i="4"/>
  <c r="E16" i="4"/>
  <c r="D16" i="4"/>
  <c r="E15" i="4"/>
  <c r="I15" i="4" s="1"/>
  <c r="D15" i="4"/>
  <c r="E14" i="4"/>
  <c r="K14" i="4" s="1"/>
  <c r="D14" i="4"/>
  <c r="E13" i="4"/>
  <c r="K13" i="4" s="1"/>
  <c r="D13" i="4"/>
  <c r="E12" i="4"/>
  <c r="I12" i="4" s="1"/>
  <c r="D12" i="4"/>
  <c r="E11" i="4"/>
  <c r="I11" i="4" s="1"/>
  <c r="D11" i="4"/>
  <c r="E10" i="4"/>
  <c r="I10" i="4" s="1"/>
  <c r="D10" i="4"/>
  <c r="E9" i="4"/>
  <c r="I9" i="4" s="1"/>
  <c r="D9" i="4"/>
  <c r="E8" i="4"/>
  <c r="D8" i="4"/>
  <c r="E7" i="4"/>
  <c r="K7" i="4" s="1"/>
  <c r="D7" i="4"/>
  <c r="E6" i="4"/>
  <c r="K6" i="4" s="1"/>
  <c r="D6" i="4"/>
  <c r="E5" i="4"/>
  <c r="K5" i="4" s="1"/>
  <c r="D5" i="4"/>
  <c r="E4" i="4"/>
  <c r="D4" i="4"/>
  <c r="E3" i="4"/>
  <c r="I3" i="4" s="1"/>
  <c r="D3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2" i="4"/>
  <c r="E2" i="4"/>
  <c r="I2" i="4" s="1"/>
  <c r="D2" i="4"/>
  <c r="A2" i="3"/>
  <c r="A2" i="5"/>
  <c r="I51" i="4" l="1"/>
  <c r="I91" i="4"/>
  <c r="I79" i="4"/>
  <c r="I67" i="4"/>
  <c r="I43" i="4"/>
  <c r="I30" i="4"/>
  <c r="I18" i="4"/>
  <c r="I29" i="4"/>
  <c r="I17" i="4"/>
  <c r="I5" i="4"/>
  <c r="K11" i="4"/>
  <c r="K23" i="4"/>
  <c r="K35" i="4"/>
  <c r="K47" i="4"/>
  <c r="K59" i="4"/>
  <c r="K71" i="4"/>
  <c r="K83" i="4"/>
  <c r="K95" i="4"/>
  <c r="I100" i="4"/>
  <c r="I88" i="4"/>
  <c r="I76" i="4"/>
  <c r="I64" i="4"/>
  <c r="I52" i="4"/>
  <c r="I40" i="4"/>
  <c r="K12" i="4"/>
  <c r="K24" i="4"/>
  <c r="K36" i="4"/>
  <c r="K48" i="4"/>
  <c r="K60" i="4"/>
  <c r="K72" i="4"/>
  <c r="K84" i="4"/>
  <c r="K96" i="4"/>
  <c r="I99" i="4"/>
  <c r="I87" i="4"/>
  <c r="I75" i="4"/>
  <c r="I63" i="4"/>
  <c r="I39" i="4"/>
  <c r="I98" i="4"/>
  <c r="I86" i="4"/>
  <c r="I74" i="4"/>
  <c r="I62" i="4"/>
  <c r="I50" i="4"/>
  <c r="I38" i="4"/>
  <c r="I26" i="4"/>
  <c r="I14" i="4"/>
  <c r="K2" i="4"/>
  <c r="I103" i="4"/>
  <c r="I55" i="4"/>
  <c r="I6" i="4"/>
</calcChain>
</file>

<file path=xl/sharedStrings.xml><?xml version="1.0" encoding="utf-8"?>
<sst xmlns="http://schemas.openxmlformats.org/spreadsheetml/2006/main" count="771" uniqueCount="159">
  <si>
    <t>Id</t>
  </si>
  <si>
    <t>Fecha de registro</t>
  </si>
  <si>
    <t>Tecnología</t>
  </si>
  <si>
    <t>Subetapa</t>
  </si>
  <si>
    <t>Categoría</t>
  </si>
  <si>
    <t>Descripción del hallazgo</t>
  </si>
  <si>
    <t>Responsable</t>
  </si>
  <si>
    <t>Estatus</t>
  </si>
  <si>
    <t>Criticidad</t>
  </si>
  <si>
    <t>Prioridad</t>
  </si>
  <si>
    <t>Fase de desarrollo</t>
  </si>
  <si>
    <t>Fecha compromiso</t>
  </si>
  <si>
    <t>Fecha de solución</t>
  </si>
  <si>
    <t>Fecha de actualización</t>
  </si>
  <si>
    <t>Observaciones</t>
  </si>
  <si>
    <t>No</t>
  </si>
  <si>
    <t>Descripción</t>
  </si>
  <si>
    <t>Sprint</t>
  </si>
  <si>
    <t>Fecha de inicio</t>
  </si>
  <si>
    <t>Fecha de fin</t>
  </si>
  <si>
    <t>Fecha</t>
  </si>
  <si>
    <t>Hora</t>
  </si>
  <si>
    <t>Asistieron</t>
  </si>
  <si>
    <t>No asistieron</t>
  </si>
  <si>
    <t>Acuerdos (Resumen)</t>
  </si>
  <si>
    <t>Comentarios</t>
  </si>
  <si>
    <t>Compromisos (Resumen)</t>
  </si>
  <si>
    <t>Asunto de la reunión</t>
  </si>
  <si>
    <t>Proyectos</t>
  </si>
  <si>
    <t>Redención de Bono</t>
  </si>
  <si>
    <t>Comisión por Saldo</t>
  </si>
  <si>
    <t>Orden Solicitud Siefore</t>
  </si>
  <si>
    <t>Angel Javier Valdez</t>
  </si>
  <si>
    <t>Christián López Arreguin</t>
  </si>
  <si>
    <t>Arquitectos</t>
  </si>
  <si>
    <t>Realizada</t>
  </si>
  <si>
    <t>Equipo no asistió a la reunión</t>
  </si>
  <si>
    <t>Reprogramada</t>
  </si>
  <si>
    <t>Cancelada</t>
  </si>
  <si>
    <t>Tecnologías</t>
  </si>
  <si>
    <t>Databricks</t>
  </si>
  <si>
    <t>Appian</t>
  </si>
  <si>
    <t>Microservicios</t>
  </si>
  <si>
    <t>Power BI</t>
  </si>
  <si>
    <t>Sprint 1</t>
  </si>
  <si>
    <t>Sprint 2</t>
  </si>
  <si>
    <t>Sprint 3</t>
  </si>
  <si>
    <t>EstatusReuniones</t>
  </si>
  <si>
    <t>Fases de desarrollo</t>
  </si>
  <si>
    <t>Abierto</t>
  </si>
  <si>
    <t>No aplica</t>
  </si>
  <si>
    <t>Alta</t>
  </si>
  <si>
    <t>Diseño</t>
  </si>
  <si>
    <t>En progreso</t>
  </si>
  <si>
    <t>Crítico</t>
  </si>
  <si>
    <t>Media</t>
  </si>
  <si>
    <t>Construcción</t>
  </si>
  <si>
    <t>Completado</t>
  </si>
  <si>
    <t>Mayor</t>
  </si>
  <si>
    <t>Baja</t>
  </si>
  <si>
    <t>Pruebas</t>
  </si>
  <si>
    <t>Cancelado</t>
  </si>
  <si>
    <t>Menor</t>
  </si>
  <si>
    <t>Certificación</t>
  </si>
  <si>
    <t>Bloqueado</t>
  </si>
  <si>
    <t>Sugerencia</t>
  </si>
  <si>
    <t>No entregó</t>
  </si>
  <si>
    <t>Soporte</t>
  </si>
  <si>
    <t>No hubo acuerdos</t>
  </si>
  <si>
    <t>Mantenimiento</t>
  </si>
  <si>
    <t>Sin avances</t>
  </si>
  <si>
    <t>En validación</t>
  </si>
  <si>
    <t>Estatus Acuerdos</t>
  </si>
  <si>
    <t>Estatus Hallazgos</t>
  </si>
  <si>
    <t>Id de la decisión</t>
  </si>
  <si>
    <t>Descripción del problema enfrentado</t>
  </si>
  <si>
    <t>Approach de solución</t>
  </si>
  <si>
    <t>Decisión</t>
  </si>
  <si>
    <t>Responsable(s) de las decisiones</t>
  </si>
  <si>
    <t>Cifras Inicio</t>
  </si>
  <si>
    <t>Revisión Cifras Inicio</t>
  </si>
  <si>
    <t>Carga Archivos Descarte</t>
  </si>
  <si>
    <t>Cifras Detalle</t>
  </si>
  <si>
    <t>Captura Mobile</t>
  </si>
  <si>
    <t>Dictamen</t>
  </si>
  <si>
    <t>IDC</t>
  </si>
  <si>
    <t>Revisión de IDC</t>
  </si>
  <si>
    <t>Validación de Indicadores</t>
  </si>
  <si>
    <t>Reevaluación</t>
  </si>
  <si>
    <t>Matriz Convivencia</t>
  </si>
  <si>
    <t>Revisión de Matriz de Convivencia</t>
  </si>
  <si>
    <t>Validación Telefónica</t>
  </si>
  <si>
    <t>Generar Cifras Control Aclaración de Cuentas</t>
  </si>
  <si>
    <t>Revisión Cifras Control Aclaración de Cuentas</t>
  </si>
  <si>
    <t>Generación Reporte de Inversiones</t>
  </si>
  <si>
    <t>Generación de Cifras Generales</t>
  </si>
  <si>
    <t>Revisión de Cifras Generales</t>
  </si>
  <si>
    <t>Generación de Cifras Control</t>
  </si>
  <si>
    <t>Revisión de Cifras Control</t>
  </si>
  <si>
    <t>Consulta de Saldos</t>
  </si>
  <si>
    <t>Generación de Movimientos</t>
  </si>
  <si>
    <t>Confirmación</t>
  </si>
  <si>
    <t>Autorización</t>
  </si>
  <si>
    <t>Acreditación</t>
  </si>
  <si>
    <t>Buzon Sar Recepción</t>
  </si>
  <si>
    <t>Buzon Sar Conclusión</t>
  </si>
  <si>
    <t>Actualizar Siefore</t>
  </si>
  <si>
    <t>Generación de Ctindi</t>
  </si>
  <si>
    <t>Desmarcar Cuentas</t>
  </si>
  <si>
    <t>Actualizar Indicadores</t>
  </si>
  <si>
    <t>Desmarcar en Integrity</t>
  </si>
  <si>
    <t>Envio al Modulo de Comunicación</t>
  </si>
  <si>
    <t>Modulos Complementarios</t>
  </si>
  <si>
    <t>Subetapas</t>
  </si>
  <si>
    <t>Documental</t>
  </si>
  <si>
    <t>Convenciones</t>
  </si>
  <si>
    <t>Lineamientos y estándares</t>
  </si>
  <si>
    <t>Reutilización</t>
  </si>
  <si>
    <t>Diseños</t>
  </si>
  <si>
    <t>Uso de Patrones</t>
  </si>
  <si>
    <t>Buenas prácticas</t>
  </si>
  <si>
    <t>CategoriaHallazgos</t>
  </si>
  <si>
    <t>Nombre</t>
  </si>
  <si>
    <t>Karen Jacqueline Chavez Martínez</t>
  </si>
  <si>
    <t>Alberto Rojas Crispin</t>
  </si>
  <si>
    <t>José Giovanni Ramírez Alfaro</t>
  </si>
  <si>
    <t>Daisy Guadalupe Alba Montelongo</t>
  </si>
  <si>
    <t>Eduardo Guadarrama Zavala</t>
  </si>
  <si>
    <t>Susana Elizabeth Cordova Acosta</t>
  </si>
  <si>
    <t>Ivan Niño Jimenez</t>
  </si>
  <si>
    <t>Xochitl Molina Miguel</t>
  </si>
  <si>
    <t>Edgardo Tobon Martinez</t>
  </si>
  <si>
    <t>Carlos Rosas Bautista</t>
  </si>
  <si>
    <t>Jesus Javier Cabañas Leon</t>
  </si>
  <si>
    <t>Arquitectura</t>
  </si>
  <si>
    <t>FechaInicio</t>
  </si>
  <si>
    <t>FechaFin</t>
  </si>
  <si>
    <t>Tecnologia</t>
  </si>
  <si>
    <t>Columna1</t>
  </si>
  <si>
    <t>EstatusDecisiones</t>
  </si>
  <si>
    <t>No iniciado</t>
  </si>
  <si>
    <t>No presentado</t>
  </si>
  <si>
    <t>EstatusDocumentacion</t>
  </si>
  <si>
    <t>Se presentó a tiempo</t>
  </si>
  <si>
    <t>Se entregó a tiempo</t>
  </si>
  <si>
    <t>Fecha Presentación</t>
  </si>
  <si>
    <t>Fecha Documento</t>
  </si>
  <si>
    <t>Orden de Solicitud de Siefore</t>
  </si>
  <si>
    <t>Creado por</t>
  </si>
  <si>
    <t>Nombre Proyecto:</t>
  </si>
  <si>
    <t>Informe Semanal</t>
  </si>
  <si>
    <t>Totales</t>
  </si>
  <si>
    <t>Hallazgos totales</t>
  </si>
  <si>
    <t>Acuerdos</t>
  </si>
  <si>
    <t>Hallazgos por criticidad</t>
  </si>
  <si>
    <t>Hallazgos por prioridad</t>
  </si>
  <si>
    <t>Leyenda</t>
  </si>
  <si>
    <t>✅ Angel Javier Valdez
✅ Christian López Arreguin
✅ Susana Elizabeth Córdova Acosta
✅ José Giovanni Ramírez Alfaro
✅ Daisy Guadalupe Alba Montelongo
✅ Ivan Daniel Cruz Sanchez</t>
  </si>
  <si>
    <t>❌ Luis Armando Rojas Ceron
❌ Jorge Luis Pérez Villanueva
❌ Carlos Alejandro Avila Rea
❌ Joan Manuel Baez Juarez
❌ Pavel Gabriel Morales Montane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</si>
</sst>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ddd\,\ dd/mmm/yyyy"/>
  </numFmts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20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/>
    <xf numFmtId="0" fontId="0" fillId="4" borderId="3" xfId="0" applyFill="1" applyBorder="1"/>
    <xf numFmtId="0" fontId="0" fillId="4" borderId="0" xfId="0" applyFill="1" applyAlignment="1">
      <alignment horizontal="left" vertical="center"/>
    </xf>
    <xf numFmtId="0" fontId="0" fillId="0" borderId="0" xfId="0" applyAlignment="1">
      <alignment wrapText="1"/>
    </xf>
    <xf numFmtId="0" fontId="2" fillId="2" borderId="2" xfId="2" applyAlignment="1">
      <alignment horizontal="left"/>
    </xf>
    <xf numFmtId="0" fontId="0" fillId="4" borderId="0" xfId="0" applyFill="1" applyAlignment="1">
      <alignment horizontal="left"/>
    </xf>
    <xf numFmtId="0" fontId="1" fillId="4" borderId="0" xfId="1" applyFill="1" applyBorder="1" applyAlignment="1">
      <alignment horizontal="center" vertical="center"/>
    </xf>
    <xf numFmtId="0" fontId="1" fillId="4" borderId="1" xfId="1" applyFill="1" applyAlignment="1">
      <alignment horizontal="center" vertical="center"/>
    </xf>
    <xf numFmtId="165" fontId="2" fillId="2" borderId="2" xfId="2" applyNumberFormat="1" applyAlignment="1">
      <alignment horizontal="left"/>
    </xf>
    <xf numFmtId="165" fontId="2" fillId="2" borderId="2" xfId="2" applyNumberFormat="1" applyAlignment="1">
      <alignment horizontal="center"/>
    </xf>
    <xf numFmtId="0" fontId="0" fillId="4" borderId="0" xfId="0" applyFill="1" applyAlignment="1">
      <alignment horizontal="center"/>
    </xf>
    <xf numFmtId="0" fontId="1" fillId="3" borderId="1" xfId="1" applyFill="1" applyAlignment="1">
      <alignment horizontal="center"/>
    </xf>
    <xf numFmtId="0" fontId="1" fillId="3" borderId="0" xfId="1" applyFill="1" applyBorder="1" applyAlignment="1">
      <alignment horizontal="center"/>
    </xf>
  </cellXfs>
  <cellStyles count="3">
    <cellStyle name="Encabezado 1" xfId="1" builtinId="16"/>
    <cellStyle name="Normal" xfId="0" builtinId="0"/>
    <cellStyle name="Salida" xfId="2" builtinId="21"/>
  </cellStyles>
  <dxfs count="52">
    <dxf>
      <font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dd/mmm/yyyy"/>
    </dxf>
    <dxf>
      <numFmt numFmtId="164" formatCode="dd/mmm/yyyy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dd/mmm/yyyy"/>
    </dxf>
    <dxf>
      <numFmt numFmtId="164" formatCode="dd/m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ck">
          <color theme="4"/>
        </top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ck">
          <color theme="4"/>
        </top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99CC00"/>
      <color rgb="FFFFFFCC"/>
      <color rgb="FF9C0006"/>
      <color rgb="FFFFC7CE"/>
      <color rgb="FFFFF2CC"/>
      <color rgb="FF7F6000"/>
      <color rgb="FF006100"/>
      <color rgb="FFC6EFCE"/>
      <color rgb="FFF4CCCC"/>
      <color rgb="FFD9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720168175699347E-2"/>
          <c:y val="0.17506921649515023"/>
          <c:w val="0.89093166632859422"/>
          <c:h val="0.6275233062751360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Contabilidad!$A$3</c:f>
              <c:strCache>
                <c:ptCount val="1"/>
                <c:pt idx="0">
                  <c:v>Appian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73-41FA-AE0B-2520CE786B5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B73-41FA-AE0B-2520CE786B5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B73-41FA-AE0B-2520CE786B5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B73-41FA-AE0B-2520CE786B5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B73-41FA-AE0B-2520CE786B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Contabilidad!$B$2:$F$2</c:f>
              <c:strCache>
                <c:ptCount val="5"/>
                <c:pt idx="0">
                  <c:v>Abierto</c:v>
                </c:pt>
                <c:pt idx="1">
                  <c:v>En progreso</c:v>
                </c:pt>
                <c:pt idx="2">
                  <c:v>Completado</c:v>
                </c:pt>
                <c:pt idx="3">
                  <c:v>Cancelado</c:v>
                </c:pt>
                <c:pt idx="4">
                  <c:v>Bloqueado</c:v>
                </c:pt>
              </c:strCache>
            </c:strRef>
          </c:cat>
          <c:val>
            <c:numRef>
              <c:f>Contabilidad!$B$3:$F$3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D-4B54-BD5B-B9E870521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15151"/>
        <c:axId val="1571097647"/>
      </c:barChart>
      <c:catAx>
        <c:axId val="34015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1097647"/>
        <c:crosses val="autoZero"/>
        <c:auto val="1"/>
        <c:lblAlgn val="ctr"/>
        <c:lblOffset val="100"/>
        <c:noMultiLvlLbl val="0"/>
      </c:catAx>
      <c:valAx>
        <c:axId val="157109764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015151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720168175699347E-2"/>
          <c:y val="0.17506921649515023"/>
          <c:w val="0.89093166632859422"/>
          <c:h val="0.6275233062751360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Contabilidad!$A$12</c:f>
              <c:strCache>
                <c:ptCount val="1"/>
                <c:pt idx="0">
                  <c:v>Appian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BF-467F-A9D7-1FC38CE3B0B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BF-467F-A9D7-1FC38CE3B0B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EBF-467F-A9D7-1FC38CE3B0B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EBF-467F-A9D7-1FC38CE3B0B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EBF-467F-A9D7-1FC38CE3B0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Contabilidad!$B$11:$F$11</c:f>
              <c:strCache>
                <c:ptCount val="5"/>
                <c:pt idx="0">
                  <c:v>Abierto</c:v>
                </c:pt>
                <c:pt idx="1">
                  <c:v>En progreso</c:v>
                </c:pt>
                <c:pt idx="2">
                  <c:v>Completado</c:v>
                </c:pt>
                <c:pt idx="3">
                  <c:v>Cancelado</c:v>
                </c:pt>
                <c:pt idx="4">
                  <c:v>Bloqueado</c:v>
                </c:pt>
              </c:strCache>
            </c:strRef>
          </c:cat>
          <c:val>
            <c:numRef>
              <c:f>Contabilidad!$B$12:$F$12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D-4B54-BD5B-B9E870521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15151"/>
        <c:axId val="1571097647"/>
      </c:barChart>
      <c:catAx>
        <c:axId val="34015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1097647"/>
        <c:crosses val="autoZero"/>
        <c:auto val="1"/>
        <c:lblAlgn val="ctr"/>
        <c:lblOffset val="100"/>
        <c:noMultiLvlLbl val="0"/>
      </c:catAx>
      <c:valAx>
        <c:axId val="157109764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015151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720168175699347E-2"/>
          <c:y val="0.17506921649515023"/>
          <c:w val="0.89093166632859422"/>
          <c:h val="0.6275233062751360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Contabilidad!$A$30</c:f>
              <c:strCache>
                <c:ptCount val="1"/>
                <c:pt idx="0">
                  <c:v>Appian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B5-434D-BD73-FB51C0E5D52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B5-434D-BD73-FB51C0E5D52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B5-434D-BD73-FB51C0E5D5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Contabilidad!$B$29:$D$29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Contabilidad!$B$30:$D$30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D-4B54-BD5B-B9E870521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15151"/>
        <c:axId val="1571097647"/>
      </c:barChart>
      <c:catAx>
        <c:axId val="34015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1097647"/>
        <c:crosses val="autoZero"/>
        <c:auto val="1"/>
        <c:lblAlgn val="ctr"/>
        <c:lblOffset val="100"/>
        <c:noMultiLvlLbl val="0"/>
      </c:catAx>
      <c:valAx>
        <c:axId val="157109764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015151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720168175699347E-2"/>
          <c:y val="0.17506921649515023"/>
          <c:w val="0.89093166632859422"/>
          <c:h val="0.6275233062751360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Contabilidad!$A$21</c:f>
              <c:strCache>
                <c:ptCount val="1"/>
                <c:pt idx="0">
                  <c:v>Appian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3E-4AEA-A385-0090D65CFCC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3E-4AEA-A385-0090D65CFCC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3E-4AEA-A385-0090D65CFCC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93E-4AEA-A385-0090D65CFC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Contabilidad!$B$20:$E$20</c:f>
              <c:strCache>
                <c:ptCount val="4"/>
                <c:pt idx="0">
                  <c:v>Crítico</c:v>
                </c:pt>
                <c:pt idx="1">
                  <c:v>Mayor</c:v>
                </c:pt>
                <c:pt idx="2">
                  <c:v>Menor</c:v>
                </c:pt>
                <c:pt idx="3">
                  <c:v>Sugerencia</c:v>
                </c:pt>
              </c:strCache>
            </c:strRef>
          </c:cat>
          <c:val>
            <c:numRef>
              <c:f>Contabilidad!$B$21:$E$21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D-4B54-BD5B-B9E870521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15151"/>
        <c:axId val="1571097647"/>
      </c:barChart>
      <c:catAx>
        <c:axId val="34015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1097647"/>
        <c:crosses val="autoZero"/>
        <c:auto val="1"/>
        <c:lblAlgn val="ctr"/>
        <c:lblOffset val="100"/>
        <c:noMultiLvlLbl val="0"/>
      </c:catAx>
      <c:valAx>
        <c:axId val="1571097647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015151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188595</xdr:colOff>
      <xdr:row>0</xdr:row>
      <xdr:rowOff>0</xdr:rowOff>
    </xdr:from>
    <xdr:to>
      <xdr:col>42</xdr:col>
      <xdr:colOff>57458</xdr:colOff>
      <xdr:row>2</xdr:row>
      <xdr:rowOff>74296</xdr:rowOff>
    </xdr:to>
    <xdr:pic>
      <xdr:nvPicPr>
        <xdr:cNvPr id="2" name="Picture 2" descr="Profuturo | incluyeme.com México">
          <a:extLst>
            <a:ext uri="{FF2B5EF4-FFF2-40B4-BE49-F238E27FC236}">
              <a16:creationId xmlns:a16="http://schemas.microsoft.com/office/drawing/2014/main" id="{72A672D2-5B11-987A-B848-1ADF512336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660" b="29044"/>
        <a:stretch>
          <a:fillRect/>
        </a:stretch>
      </xdr:blipFill>
      <xdr:spPr bwMode="auto">
        <a:xfrm>
          <a:off x="6094095" y="64769"/>
          <a:ext cx="2001110" cy="441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98053</xdr:colOff>
      <xdr:row>2</xdr:row>
      <xdr:rowOff>72676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568D8051-8C84-76EC-3A06-840AB433A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865"/>
          <a:ext cx="1696127" cy="444151"/>
        </a:xfrm>
        <a:prstGeom prst="rect">
          <a:avLst/>
        </a:prstGeom>
      </xdr:spPr>
    </xdr:pic>
    <xdr:clientData/>
  </xdr:twoCellAnchor>
  <xdr:twoCellAnchor>
    <xdr:from>
      <xdr:col>0</xdr:col>
      <xdr:colOff>26671</xdr:colOff>
      <xdr:row>4</xdr:row>
      <xdr:rowOff>53340</xdr:rowOff>
    </xdr:from>
    <xdr:to>
      <xdr:col>21</xdr:col>
      <xdr:colOff>95251</xdr:colOff>
      <xdr:row>16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0854301-565D-41B7-AFA3-310B4276D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100966</xdr:colOff>
      <xdr:row>4</xdr:row>
      <xdr:rowOff>57150</xdr:rowOff>
    </xdr:from>
    <xdr:to>
      <xdr:col>42</xdr:col>
      <xdr:colOff>167641</xdr:colOff>
      <xdr:row>16</xdr:row>
      <xdr:rowOff>64770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49031A3-DF5C-A7E2-E9AE-6E07BE34F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24766</xdr:colOff>
      <xdr:row>16</xdr:row>
      <xdr:rowOff>68036</xdr:rowOff>
    </xdr:from>
    <xdr:to>
      <xdr:col>21</xdr:col>
      <xdr:colOff>91441</xdr:colOff>
      <xdr:row>28</xdr:row>
      <xdr:rowOff>75655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0E8BE8F-1D33-8E5F-31C2-39D1265EA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97156</xdr:colOff>
      <xdr:row>16</xdr:row>
      <xdr:rowOff>64226</xdr:rowOff>
    </xdr:from>
    <xdr:to>
      <xdr:col>42</xdr:col>
      <xdr:colOff>171451</xdr:colOff>
      <xdr:row>28</xdr:row>
      <xdr:rowOff>73750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CCD9BD9-4103-FDA9-9ED9-E8C5012BA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15</xdr:col>
      <xdr:colOff>31225</xdr:colOff>
      <xdr:row>4</xdr:row>
      <xdr:rowOff>93013</xdr:rowOff>
    </xdr:from>
    <xdr:ext cx="1130245" cy="248851"/>
    <xdr:sp macro="" textlink="Contabilidad!H3">
      <xdr:nvSpPr>
        <xdr:cNvPr id="8" name="CuadroTexto 7">
          <a:extLst>
            <a:ext uri="{FF2B5EF4-FFF2-40B4-BE49-F238E27FC236}">
              <a16:creationId xmlns:a16="http://schemas.microsoft.com/office/drawing/2014/main" id="{B5442C93-131B-1BCC-80AA-E7B3B80504F9}"/>
            </a:ext>
          </a:extLst>
        </xdr:cNvPr>
        <xdr:cNvSpPr txBox="1"/>
      </xdr:nvSpPr>
      <xdr:spPr>
        <a:xfrm>
          <a:off x="2888725" y="830165"/>
          <a:ext cx="1130245" cy="248851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fld id="{66B5B19F-C60D-4DC9-97A3-D6DF31B8625B}" type="TxLink">
            <a:rPr lang="en-US" sz="1000" b="1" i="0" u="none" strike="noStrike">
              <a:solidFill>
                <a:srgbClr val="000000"/>
              </a:solidFill>
              <a:latin typeface="Aptos Narrow"/>
            </a:rPr>
            <a:pPr algn="r"/>
            <a:t>Total :4</a:t>
          </a:fld>
          <a:endParaRPr lang="es-MX" sz="1000" b="1"/>
        </a:p>
      </xdr:txBody>
    </xdr:sp>
    <xdr:clientData/>
  </xdr:oneCellAnchor>
  <xdr:oneCellAnchor>
    <xdr:from>
      <xdr:col>36</xdr:col>
      <xdr:colOff>124239</xdr:colOff>
      <xdr:row>4</xdr:row>
      <xdr:rowOff>96823</xdr:rowOff>
    </xdr:from>
    <xdr:ext cx="1130245" cy="248851"/>
    <xdr:sp macro="" textlink="Contabilidad!H12">
      <xdr:nvSpPr>
        <xdr:cNvPr id="9" name="CuadroTexto 8">
          <a:extLst>
            <a:ext uri="{FF2B5EF4-FFF2-40B4-BE49-F238E27FC236}">
              <a16:creationId xmlns:a16="http://schemas.microsoft.com/office/drawing/2014/main" id="{BAED13D3-0E3C-96A4-1226-2E8AAEBEEC5D}"/>
            </a:ext>
          </a:extLst>
        </xdr:cNvPr>
        <xdr:cNvSpPr txBox="1"/>
      </xdr:nvSpPr>
      <xdr:spPr>
        <a:xfrm>
          <a:off x="6982239" y="833975"/>
          <a:ext cx="1130245" cy="248851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r"/>
          <a:fld id="{6998A1F3-1E26-4DBF-92BD-B2CD824D8135}" type="TxLink">
            <a:rPr lang="en-US" sz="10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r"/>
            <a:t>Total :3</a:t>
          </a:fld>
          <a:endParaRPr lang="es-MX" sz="10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15</xdr:col>
      <xdr:colOff>25510</xdr:colOff>
      <xdr:row>16</xdr:row>
      <xdr:rowOff>125481</xdr:rowOff>
    </xdr:from>
    <xdr:ext cx="1130245" cy="248851"/>
    <xdr:sp macro="" textlink="Contabilidad!F30">
      <xdr:nvSpPr>
        <xdr:cNvPr id="10" name="CuadroTexto 9">
          <a:extLst>
            <a:ext uri="{FF2B5EF4-FFF2-40B4-BE49-F238E27FC236}">
              <a16:creationId xmlns:a16="http://schemas.microsoft.com/office/drawing/2014/main" id="{94A2D5B8-A54C-80D5-3D8C-AFE1B4722A42}"/>
            </a:ext>
          </a:extLst>
        </xdr:cNvPr>
        <xdr:cNvSpPr txBox="1"/>
      </xdr:nvSpPr>
      <xdr:spPr>
        <a:xfrm>
          <a:off x="2883010" y="3049242"/>
          <a:ext cx="1130245" cy="248851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r"/>
          <a:fld id="{FA0A0EA4-0F25-45EB-941C-D27414754C8B}" type="TxLink">
            <a:rPr lang="en-US" sz="10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r"/>
            <a:t>Total :4</a:t>
          </a:fld>
          <a:endParaRPr lang="es-MX" sz="10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36</xdr:col>
      <xdr:colOff>126144</xdr:colOff>
      <xdr:row>16</xdr:row>
      <xdr:rowOff>117861</xdr:rowOff>
    </xdr:from>
    <xdr:ext cx="1130245" cy="248851"/>
    <xdr:sp macro="" textlink="Contabilidad!G21">
      <xdr:nvSpPr>
        <xdr:cNvPr id="11" name="CuadroTexto 10">
          <a:extLst>
            <a:ext uri="{FF2B5EF4-FFF2-40B4-BE49-F238E27FC236}">
              <a16:creationId xmlns:a16="http://schemas.microsoft.com/office/drawing/2014/main" id="{BA8C5762-D6CE-9B8E-A63E-B14D9BC77B1B}"/>
            </a:ext>
          </a:extLst>
        </xdr:cNvPr>
        <xdr:cNvSpPr txBox="1"/>
      </xdr:nvSpPr>
      <xdr:spPr>
        <a:xfrm>
          <a:off x="6984144" y="3041622"/>
          <a:ext cx="1130245" cy="248851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r"/>
          <a:fld id="{153D0893-E63B-4901-892A-13DB7F7EA785}" type="TxLink">
            <a:rPr lang="en-US" sz="10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r"/>
            <a:t>Total :4</a:t>
          </a:fld>
          <a:endParaRPr lang="es-MX" sz="10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0.00648</cdr:x>
      <cdr:y>0.09305</cdr:y>
    </cdr:from>
    <cdr:to>
      <cdr:x>0.99166</cdr:x>
      <cdr:y>0.9469</cdr:y>
    </cdr:to>
    <cdr:sp macro="" textlink="">
      <cdr:nvSpPr>
        <cdr:cNvPr id="3" name="Rectángulo 2">
          <a:extLst xmlns:a="http://schemas.openxmlformats.org/drawingml/2006/main">
            <a:ext uri="{FF2B5EF4-FFF2-40B4-BE49-F238E27FC236}">
              <a16:creationId xmlns:a16="http://schemas.microsoft.com/office/drawing/2014/main" id="{4618FA96-4AAE-7DB9-D12D-E8695BAA9A1B}"/>
            </a:ext>
          </a:extLst>
        </cdr:cNvPr>
        <cdr:cNvSpPr/>
      </cdr:nvSpPr>
      <cdr:spPr>
        <a:xfrm xmlns:a="http://schemas.openxmlformats.org/drawingml/2006/main">
          <a:off x="26344" y="201381"/>
          <a:ext cx="4006899" cy="18479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bg1">
              <a:lumMod val="85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MX" kern="1200"/>
        </a:p>
      </cdr:txBody>
    </cdr:sp>
  </cdr:relSizeAnchor>
  <cdr:relSizeAnchor xmlns:cdr="http://schemas.openxmlformats.org/drawingml/2006/chartDrawing">
    <cdr:from>
      <cdr:x>0.00522</cdr:x>
      <cdr:y>0.01869</cdr:y>
    </cdr:from>
    <cdr:to>
      <cdr:x>0.99367</cdr:x>
      <cdr:y>0.13801</cdr:y>
    </cdr:to>
    <cdr:sp macro="" textlink="">
      <cdr:nvSpPr>
        <cdr:cNvPr id="2" name="Rectángulo: esquinas superiores redondeadas 1">
          <a:extLst xmlns:a="http://schemas.openxmlformats.org/drawingml/2006/main">
            <a:ext uri="{FF2B5EF4-FFF2-40B4-BE49-F238E27FC236}">
              <a16:creationId xmlns:a16="http://schemas.microsoft.com/office/drawing/2014/main" id="{DDD96546-DFFB-C906-68E4-F5990D790850}"/>
            </a:ext>
          </a:extLst>
        </cdr:cNvPr>
        <cdr:cNvSpPr/>
      </cdr:nvSpPr>
      <cdr:spPr>
        <a:xfrm xmlns:a="http://schemas.openxmlformats.org/drawingml/2006/main">
          <a:off x="21217" y="41001"/>
          <a:ext cx="4020207" cy="261830"/>
        </a:xfrm>
        <a:prstGeom xmlns:a="http://schemas.openxmlformats.org/drawingml/2006/main" prst="round2SameRect">
          <a:avLst>
            <a:gd name="adj1" fmla="val 45685"/>
            <a:gd name="adj2" fmla="val 0"/>
          </a:avLst>
        </a:prstGeom>
        <a:solidFill xmlns:a="http://schemas.openxmlformats.org/drawingml/2006/main">
          <a:schemeClr val="bg1">
            <a:lumMod val="8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001">
          <a:schemeClr val="lt2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s-MX" kern="1200">
              <a:solidFill>
                <a:schemeClr val="tx1"/>
              </a:solidFill>
            </a:rPr>
            <a:t>HALLAZGOS</a:t>
          </a:r>
        </a:p>
      </cdr:txBody>
    </cdr:sp>
  </cdr:relSizeAnchor>
  <cdr:relSizeAnchor xmlns:cdr="http://schemas.openxmlformats.org/drawingml/2006/chartDrawing">
    <cdr:from>
      <cdr:x>0.75481</cdr:x>
      <cdr:y>0.01925</cdr:y>
    </cdr:from>
    <cdr:to>
      <cdr:x>0.97964</cdr:x>
      <cdr:y>0.10984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AA61C223-B8F0-6232-E741-21793B944852}"/>
            </a:ext>
          </a:extLst>
        </cdr:cNvPr>
        <cdr:cNvSpPr txBox="1"/>
      </cdr:nvSpPr>
      <cdr:spPr>
        <a:xfrm xmlns:a="http://schemas.openxmlformats.org/drawingml/2006/main">
          <a:off x="3069949" y="42241"/>
          <a:ext cx="914400" cy="198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MX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0.00648</cdr:x>
      <cdr:y>0.09305</cdr:y>
    </cdr:from>
    <cdr:to>
      <cdr:x>0.99166</cdr:x>
      <cdr:y>0.9469</cdr:y>
    </cdr:to>
    <cdr:sp macro="" textlink="">
      <cdr:nvSpPr>
        <cdr:cNvPr id="3" name="Rectángulo 2">
          <a:extLst xmlns:a="http://schemas.openxmlformats.org/drawingml/2006/main">
            <a:ext uri="{FF2B5EF4-FFF2-40B4-BE49-F238E27FC236}">
              <a16:creationId xmlns:a16="http://schemas.microsoft.com/office/drawing/2014/main" id="{4618FA96-4AAE-7DB9-D12D-E8695BAA9A1B}"/>
            </a:ext>
          </a:extLst>
        </cdr:cNvPr>
        <cdr:cNvSpPr/>
      </cdr:nvSpPr>
      <cdr:spPr>
        <a:xfrm xmlns:a="http://schemas.openxmlformats.org/drawingml/2006/main">
          <a:off x="26344" y="201381"/>
          <a:ext cx="4006899" cy="18479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accent1">
              <a:lumMod val="40000"/>
              <a:lumOff val="60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MX" kern="1200"/>
        </a:p>
      </cdr:txBody>
    </cdr:sp>
  </cdr:relSizeAnchor>
  <cdr:relSizeAnchor xmlns:cdr="http://schemas.openxmlformats.org/drawingml/2006/chartDrawing">
    <cdr:from>
      <cdr:x>0.00522</cdr:x>
      <cdr:y>0.01869</cdr:y>
    </cdr:from>
    <cdr:to>
      <cdr:x>0.99367</cdr:x>
      <cdr:y>0.13801</cdr:y>
    </cdr:to>
    <cdr:sp macro="" textlink="">
      <cdr:nvSpPr>
        <cdr:cNvPr id="2" name="Rectángulo: esquinas superiores redondeadas 1">
          <a:extLst xmlns:a="http://schemas.openxmlformats.org/drawingml/2006/main">
            <a:ext uri="{FF2B5EF4-FFF2-40B4-BE49-F238E27FC236}">
              <a16:creationId xmlns:a16="http://schemas.microsoft.com/office/drawing/2014/main" id="{DDD96546-DFFB-C906-68E4-F5990D790850}"/>
            </a:ext>
          </a:extLst>
        </cdr:cNvPr>
        <cdr:cNvSpPr/>
      </cdr:nvSpPr>
      <cdr:spPr>
        <a:xfrm xmlns:a="http://schemas.openxmlformats.org/drawingml/2006/main">
          <a:off x="21217" y="40440"/>
          <a:ext cx="4020207" cy="258250"/>
        </a:xfrm>
        <a:prstGeom xmlns:a="http://schemas.openxmlformats.org/drawingml/2006/main" prst="round2SameRect">
          <a:avLst>
            <a:gd name="adj1" fmla="val 45685"/>
            <a:gd name="adj2" fmla="val 0"/>
          </a:avLst>
        </a:prstGeom>
        <a:solidFill xmlns:a="http://schemas.openxmlformats.org/drawingml/2006/main">
          <a:schemeClr val="tx2">
            <a:lumMod val="25000"/>
            <a:lumOff val="7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001">
          <a:schemeClr val="lt2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s-MX" kern="1200">
              <a:solidFill>
                <a:schemeClr val="tx1"/>
              </a:solidFill>
            </a:rPr>
            <a:t>ACUERDOS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0.00648</cdr:x>
      <cdr:y>0.09305</cdr:y>
    </cdr:from>
    <cdr:to>
      <cdr:x>0.99166</cdr:x>
      <cdr:y>0.9469</cdr:y>
    </cdr:to>
    <cdr:sp macro="" textlink="">
      <cdr:nvSpPr>
        <cdr:cNvPr id="3" name="Rectángulo 2">
          <a:extLst xmlns:a="http://schemas.openxmlformats.org/drawingml/2006/main">
            <a:ext uri="{FF2B5EF4-FFF2-40B4-BE49-F238E27FC236}">
              <a16:creationId xmlns:a16="http://schemas.microsoft.com/office/drawing/2014/main" id="{4618FA96-4AAE-7DB9-D12D-E8695BAA9A1B}"/>
            </a:ext>
          </a:extLst>
        </cdr:cNvPr>
        <cdr:cNvSpPr/>
      </cdr:nvSpPr>
      <cdr:spPr>
        <a:xfrm xmlns:a="http://schemas.openxmlformats.org/drawingml/2006/main">
          <a:off x="26344" y="201381"/>
          <a:ext cx="4006899" cy="18479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99CC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MX" kern="1200"/>
        </a:p>
      </cdr:txBody>
    </cdr:sp>
  </cdr:relSizeAnchor>
  <cdr:relSizeAnchor xmlns:cdr="http://schemas.openxmlformats.org/drawingml/2006/chartDrawing">
    <cdr:from>
      <cdr:x>0.00522</cdr:x>
      <cdr:y>0.01869</cdr:y>
    </cdr:from>
    <cdr:to>
      <cdr:x>0.99367</cdr:x>
      <cdr:y>0.13801</cdr:y>
    </cdr:to>
    <cdr:sp macro="" textlink="">
      <cdr:nvSpPr>
        <cdr:cNvPr id="2" name="Rectángulo: esquinas superiores redondeadas 1">
          <a:extLst xmlns:a="http://schemas.openxmlformats.org/drawingml/2006/main">
            <a:ext uri="{FF2B5EF4-FFF2-40B4-BE49-F238E27FC236}">
              <a16:creationId xmlns:a16="http://schemas.microsoft.com/office/drawing/2014/main" id="{DDD96546-DFFB-C906-68E4-F5990D790850}"/>
            </a:ext>
          </a:extLst>
        </cdr:cNvPr>
        <cdr:cNvSpPr/>
      </cdr:nvSpPr>
      <cdr:spPr>
        <a:xfrm xmlns:a="http://schemas.openxmlformats.org/drawingml/2006/main">
          <a:off x="21217" y="40440"/>
          <a:ext cx="4020207" cy="258250"/>
        </a:xfrm>
        <a:prstGeom xmlns:a="http://schemas.openxmlformats.org/drawingml/2006/main" prst="round2SameRect">
          <a:avLst>
            <a:gd name="adj1" fmla="val 45685"/>
            <a:gd name="adj2" fmla="val 0"/>
          </a:avLst>
        </a:prstGeom>
        <a:solidFill xmlns:a="http://schemas.openxmlformats.org/drawingml/2006/main">
          <a:srgbClr val="FFC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001">
          <a:schemeClr val="lt2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s-MX" kern="1200">
              <a:solidFill>
                <a:schemeClr val="tx1"/>
              </a:solidFill>
            </a:rPr>
            <a:t>HALLAZGOS POR</a:t>
          </a:r>
          <a:r>
            <a:rPr lang="es-MX" kern="1200" baseline="0">
              <a:solidFill>
                <a:schemeClr val="tx1"/>
              </a:solidFill>
            </a:rPr>
            <a:t> PRIORIDAD</a:t>
          </a:r>
          <a:endParaRPr lang="es-MX" kern="1200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0.00648</cdr:x>
      <cdr:y>0.09305</cdr:y>
    </cdr:from>
    <cdr:to>
      <cdr:x>0.99166</cdr:x>
      <cdr:y>0.9469</cdr:y>
    </cdr:to>
    <cdr:sp macro="" textlink="">
      <cdr:nvSpPr>
        <cdr:cNvPr id="3" name="Rectángulo 2">
          <a:extLst xmlns:a="http://schemas.openxmlformats.org/drawingml/2006/main">
            <a:ext uri="{FF2B5EF4-FFF2-40B4-BE49-F238E27FC236}">
              <a16:creationId xmlns:a16="http://schemas.microsoft.com/office/drawing/2014/main" id="{4618FA96-4AAE-7DB9-D12D-E8695BAA9A1B}"/>
            </a:ext>
          </a:extLst>
        </cdr:cNvPr>
        <cdr:cNvSpPr/>
      </cdr:nvSpPr>
      <cdr:spPr>
        <a:xfrm xmlns:a="http://schemas.openxmlformats.org/drawingml/2006/main">
          <a:off x="26344" y="201381"/>
          <a:ext cx="4006899" cy="18479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99CC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MX" kern="1200"/>
        </a:p>
      </cdr:txBody>
    </cdr:sp>
  </cdr:relSizeAnchor>
  <cdr:relSizeAnchor xmlns:cdr="http://schemas.openxmlformats.org/drawingml/2006/chartDrawing">
    <cdr:from>
      <cdr:x>0.00522</cdr:x>
      <cdr:y>0.01869</cdr:y>
    </cdr:from>
    <cdr:to>
      <cdr:x>0.99367</cdr:x>
      <cdr:y>0.13801</cdr:y>
    </cdr:to>
    <cdr:sp macro="" textlink="">
      <cdr:nvSpPr>
        <cdr:cNvPr id="2" name="Rectángulo: esquinas superiores redondeadas 1">
          <a:extLst xmlns:a="http://schemas.openxmlformats.org/drawingml/2006/main">
            <a:ext uri="{FF2B5EF4-FFF2-40B4-BE49-F238E27FC236}">
              <a16:creationId xmlns:a16="http://schemas.microsoft.com/office/drawing/2014/main" id="{DDD96546-DFFB-C906-68E4-F5990D790850}"/>
            </a:ext>
          </a:extLst>
        </cdr:cNvPr>
        <cdr:cNvSpPr/>
      </cdr:nvSpPr>
      <cdr:spPr>
        <a:xfrm xmlns:a="http://schemas.openxmlformats.org/drawingml/2006/main">
          <a:off x="21217" y="40440"/>
          <a:ext cx="4020207" cy="258250"/>
        </a:xfrm>
        <a:prstGeom xmlns:a="http://schemas.openxmlformats.org/drawingml/2006/main" prst="round2SameRect">
          <a:avLst>
            <a:gd name="adj1" fmla="val 45685"/>
            <a:gd name="adj2" fmla="val 0"/>
          </a:avLst>
        </a:prstGeom>
        <a:solidFill xmlns:a="http://schemas.openxmlformats.org/drawingml/2006/main">
          <a:srgbClr val="99CC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001">
          <a:schemeClr val="lt2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s-MX" kern="1200">
              <a:solidFill>
                <a:schemeClr val="tx1"/>
              </a:solidFill>
            </a:rPr>
            <a:t>HALLAZGOS POR CRITICIDAD</a:t>
          </a:r>
        </a:p>
      </cdr:txBody>
    </cdr:sp>
  </cdr:relSizeAnchor>
</c:userShape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2F5FC5D-5CBC-4A32-BC7B-9E86E9C966EB}" name="HallazgosTotales" displayName="HallazgosTotales" ref="A2:H7" totalsRowCount="1">
  <autoFilter ref="A2:H6" xr:uid="{12F5FC5D-5CBC-4A32-BC7B-9E86E9C966EB}"/>
  <tableColumns count="8">
    <tableColumn id="1" xr3:uid="{2621984F-DB38-4406-A4F1-2635A3B5E0E6}" name="Tecnología" totalsRowLabel="Totales"/>
    <tableColumn id="2" xr3:uid="{B1AC0A1A-9FC3-4E5C-896C-51A8BED3746A}" name="Abierto" totalsRowFunction="sum" dataDxfId="51" totalsRowDxfId="50">
      <calculatedColumnFormula>COUNTIFS(Hallazgos[Tecnología],HallazgosTotales[[#This Row],[Tecnología]],Hallazgos[Estatus],HallazgosTotales[[#Headers],[Abierto]])</calculatedColumnFormula>
    </tableColumn>
    <tableColumn id="3" xr3:uid="{00D2B385-4DF0-4EF7-8C65-CC3DCB2DDED9}" name="En progreso" totalsRowFunction="sum" dataDxfId="49" totalsRowDxfId="48">
      <calculatedColumnFormula>COUNTIFS(Hallazgos[Tecnología],HallazgosTotales[[#This Row],[Tecnología]],Hallazgos[Estatus],HallazgosTotales[[#Headers],[En progreso]])</calculatedColumnFormula>
    </tableColumn>
    <tableColumn id="4" xr3:uid="{270CBA42-D1A8-4920-A6A4-A2468A277397}" name="Completado" totalsRowFunction="sum" dataDxfId="47" totalsRowDxfId="46">
      <calculatedColumnFormula>COUNTIFS(Hallazgos[Tecnología],HallazgosTotales[[#This Row],[Tecnología]],Hallazgos[Estatus],HallazgosTotales[[#Headers],[Completado]])</calculatedColumnFormula>
    </tableColumn>
    <tableColumn id="5" xr3:uid="{09278036-486C-460D-9506-10E76F001412}" name="Cancelado" totalsRowFunction="sum" dataDxfId="45" totalsRowDxfId="44">
      <calculatedColumnFormula>COUNTIFS(Hallazgos[Tecnología],HallazgosTotales[[#This Row],[Tecnología]],Hallazgos[Estatus],HallazgosTotales[[#Headers],[Cancelado]])</calculatedColumnFormula>
    </tableColumn>
    <tableColumn id="6" xr3:uid="{C66BBD3F-43AB-4703-A28A-4AA238E25C34}" name="Bloqueado" totalsRowFunction="sum" dataDxfId="43" totalsRowDxfId="42">
      <calculatedColumnFormula>COUNTIFS(Hallazgos[Tecnología],HallazgosTotales[[#This Row],[Tecnología]],Hallazgos[Estatus],HallazgosTotales[[#Headers],[Bloqueado]])</calculatedColumnFormula>
    </tableColumn>
    <tableColumn id="7" xr3:uid="{29B8B495-6833-4558-82F3-9A125B1B111B}" name="Totales" totalsRowFunction="sum" dataDxfId="41" totalsRowDxfId="40">
      <calculatedColumnFormula>SUM(HallazgosTotales[[#This Row],[Abierto]:[Bloqueado]])</calculatedColumnFormula>
    </tableColumn>
    <tableColumn id="8" xr3:uid="{AD11A787-271A-4CAB-A5EA-05430A0B1D67}" name="Leyenda" dataDxfId="39">
      <calculatedColumnFormula>CONCATENATE("Total :",HallazgosTotales[[#This Row],[Totales]])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C2E037C-AA9E-4A53-994D-5511CEFC7A00}" name="AcuerdosTotales" displayName="AcuerdosTotales" ref="A11:H16" totalsRowCount="1" tableBorderDxfId="38">
  <autoFilter ref="A11:H15" xr:uid="{5C2E037C-AA9E-4A53-994D-5511CEFC7A00}"/>
  <tableColumns count="8">
    <tableColumn id="1" xr3:uid="{08F7BB7F-B18D-4761-ABB8-1BF906C26CDE}" name="Tecnología" totalsRowLabel="Totales"/>
    <tableColumn id="2" xr3:uid="{9B2A0343-4F3B-45E4-B53B-F0BA4AF81B7F}" name="Abierto" totalsRowFunction="sum" dataDxfId="37" totalsRowDxfId="36">
      <calculatedColumnFormula>COUNTIFS(Acuerdos[Tecnología],AcuerdosTotales[[#This Row],[Tecnología]],Acuerdos[Estatus],AcuerdosTotales[[#Headers],[Abierto]])</calculatedColumnFormula>
    </tableColumn>
    <tableColumn id="3" xr3:uid="{273034AD-AA77-4F67-9536-09FCE368C259}" name="En progreso" totalsRowFunction="sum" dataDxfId="35" totalsRowDxfId="34">
      <calculatedColumnFormula>COUNTIFS(Acuerdos[Tecnología],AcuerdosTotales[[#This Row],[Tecnología]],Acuerdos[Estatus],AcuerdosTotales[[#Headers],[En progreso]])</calculatedColumnFormula>
    </tableColumn>
    <tableColumn id="4" xr3:uid="{1F3455FB-20DC-4631-88AD-85204D9ABD79}" name="Completado" totalsRowFunction="sum" dataDxfId="33" totalsRowDxfId="32">
      <calculatedColumnFormula>COUNTIFS(Acuerdos[Tecnología],AcuerdosTotales[[#This Row],[Tecnología]],Acuerdos[Estatus],AcuerdosTotales[[#Headers],[Completado]])</calculatedColumnFormula>
    </tableColumn>
    <tableColumn id="5" xr3:uid="{3AC3CDF5-E881-4FB9-A5AA-D16D47DB011C}" name="Cancelado" totalsRowFunction="sum" dataDxfId="31" totalsRowDxfId="30">
      <calculatedColumnFormula>COUNTIFS(Acuerdos[Tecnología],AcuerdosTotales[[#This Row],[Tecnología]],Acuerdos[Estatus],AcuerdosTotales[[#Headers],[Cancelado]])</calculatedColumnFormula>
    </tableColumn>
    <tableColumn id="6" xr3:uid="{6293DA2F-A5BC-4B8E-9037-2C41D100559F}" name="Bloqueado" totalsRowFunction="sum" dataDxfId="29" totalsRowDxfId="28">
      <calculatedColumnFormula>COUNTIFS(Acuerdos[Tecnología],AcuerdosTotales[[#This Row],[Tecnología]],Acuerdos[Estatus],AcuerdosTotales[[#Headers],[Bloqueado]])</calculatedColumnFormula>
    </tableColumn>
    <tableColumn id="7" xr3:uid="{8BBE5556-8853-4E9D-9334-01751769481C}" name="Totales" totalsRowFunction="sum" dataDxfId="27" totalsRowDxfId="26">
      <calculatedColumnFormula>SUM(AcuerdosTotales[[#This Row],[Abierto]:[Bloqueado]])</calculatedColumnFormula>
    </tableColumn>
    <tableColumn id="8" xr3:uid="{D3A47DBF-4F7D-407D-AF3C-C97E0CA7B9F2}" name="Columna1" dataDxfId="25">
      <calculatedColumnFormula>CONCATENATE("Total :",AcuerdosTotales[[#This Row],[Totales]])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47E203B-BE34-4814-8306-BC863F5A1228}" name="HallazgosCriticidad" displayName="HallazgosCriticidad" ref="A20:G25" totalsRowCount="1" tableBorderDxfId="24">
  <autoFilter ref="A20:G24" xr:uid="{647E203B-BE34-4814-8306-BC863F5A1228}"/>
  <tableColumns count="7">
    <tableColumn id="1" xr3:uid="{862D92E0-7FB9-4991-84A6-6064BABB563B}" name="Tecnología" totalsRowLabel="Totales"/>
    <tableColumn id="2" xr3:uid="{187775D2-6024-464F-BFF1-DB2E2A43AAE8}" name="Crítico" totalsRowFunction="sum" dataDxfId="23">
      <calculatedColumnFormula>COUNTIFS(Hallazgos[Tecnología],HallazgosCriticidad[[#This Row],[Tecnología]],Hallazgos[Criticidad],HallazgosCriticidad[[#Headers],[Crítico]])</calculatedColumnFormula>
    </tableColumn>
    <tableColumn id="3" xr3:uid="{5E255121-FFC3-472E-A260-CD1DDE7C745A}" name="Mayor" totalsRowFunction="sum" dataDxfId="22">
      <calculatedColumnFormula>COUNTIFS(Hallazgos[Tecnología],HallazgosCriticidad[[#This Row],[Tecnología]],Hallazgos[Criticidad],HallazgosCriticidad[[#Headers],[Mayor]])</calculatedColumnFormula>
    </tableColumn>
    <tableColumn id="4" xr3:uid="{DB1CA5B8-CCED-44F6-A671-79642B5A44BA}" name="Menor" totalsRowFunction="sum" dataDxfId="21">
      <calculatedColumnFormula>COUNTIFS(Hallazgos[Tecnología],HallazgosCriticidad[[#This Row],[Tecnología]],Hallazgos[Criticidad],HallazgosCriticidad[[#Headers],[Menor]])</calculatedColumnFormula>
    </tableColumn>
    <tableColumn id="5" xr3:uid="{5DEA3EBC-51DA-491C-ACED-E3D36C28A979}" name="Sugerencia" totalsRowFunction="sum" dataDxfId="20">
      <calculatedColumnFormula>COUNTIFS(Hallazgos[Tecnología],HallazgosCriticidad[[#This Row],[Tecnología]],Hallazgos[Criticidad],HallazgosCriticidad[[#Headers],[Sugerencia]])</calculatedColumnFormula>
    </tableColumn>
    <tableColumn id="6" xr3:uid="{8079FCF1-538C-43E9-B3D0-058D00C52227}" name="Totales" totalsRowFunction="sum" dataDxfId="19">
      <calculatedColumnFormula>SUM(HallazgosCriticidad[[#This Row],[Crítico]:[Sugerencia]])</calculatedColumnFormula>
    </tableColumn>
    <tableColumn id="7" xr3:uid="{6345BB94-72BD-425A-967D-F8C4FC34C752}" name="Columna1" dataDxfId="18">
      <calculatedColumnFormula>CONCATENATE("Total :",HallazgosCriticidad[[#This Row],[Totales]])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49A1ACC-C215-4E21-892B-34597233539D}" name="HallazgosPrioridad" displayName="HallazgosPrioridad" ref="A29:F34" totalsRowCount="1">
  <autoFilter ref="A29:F33" xr:uid="{E49A1ACC-C215-4E21-892B-34597233539D}"/>
  <tableColumns count="6">
    <tableColumn id="1" xr3:uid="{8FEAEC53-F01B-4136-9B5E-84EE84A94B88}" name="Tecnología" totalsRowLabel="Totales"/>
    <tableColumn id="2" xr3:uid="{0EA18A4C-FE21-42E2-91E8-D876658735D0}" name="Alta" totalsRowFunction="sum" dataDxfId="17">
      <calculatedColumnFormula>COUNTIFS(Hallazgos[Tecnología],HallazgosPrioridad[[#This Row],[Tecnología]],Hallazgos[Prioridad],HallazgosPrioridad[[#Headers],[Alta]])</calculatedColumnFormula>
    </tableColumn>
    <tableColumn id="3" xr3:uid="{B08E5F6F-AC50-4D63-B9CE-FB61A7DF62A5}" name="Media" dataDxfId="16">
      <calculatedColumnFormula>COUNTIFS(Hallazgos[Tecnología],HallazgosPrioridad[[#This Row],[Tecnología]],Hallazgos[Prioridad],HallazgosPrioridad[[#Headers],[Media]])</calculatedColumnFormula>
    </tableColumn>
    <tableColumn id="4" xr3:uid="{F077BE5F-0F83-486E-830E-8C548008DF05}" name="Baja" dataDxfId="15">
      <calculatedColumnFormula>COUNTIFS(Hallazgos[Tecnología],HallazgosPrioridad[[#This Row],[Tecnología]],Hallazgos[Prioridad],HallazgosPrioridad[[#Headers],[Baja]])</calculatedColumnFormula>
    </tableColumn>
    <tableColumn id="5" xr3:uid="{74A28801-9141-418B-AE4A-3F6D0C98CDA7}" name="Totales" dataDxfId="14">
      <calculatedColumnFormula>SUM(HallazgosPrioridad[[#This Row],[Alta]:[Baja]])</calculatedColumnFormula>
    </tableColumn>
    <tableColumn id="6" xr3:uid="{C70B57FD-B193-48B0-A944-D0A8D1FE911B}" name="Columna1" dataDxfId="13">
      <calculatedColumnFormula>CONCATENATE("Total :",HallazgosPrioridad[[#This Row],[Totales]])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83D56C-0F58-4E63-A6D5-903C3408EB2E}" name="Hallazgos" displayName="Hallazgos" ref="A1:O5" totalsRowShown="0">
  <autoFilter ref="A1:O5" xr:uid="{0083D56C-0F58-4E63-A6D5-903C3408EB2E}"/>
  <tableColumns count="15">
    <tableColumn id="1" xr3:uid="{956F780B-302B-412D-8B98-D8689A3E06C9}" name="Id">
      <calculatedColumnFormula>ROW()-1</calculatedColumnFormula>
    </tableColumn>
    <tableColumn id="2" xr3:uid="{74EA742C-5F0E-44D3-8780-6DE3E3F246FA}" name="Fecha de registro" dataDxfId="12"/>
    <tableColumn id="3" xr3:uid="{33C65FCE-F278-4FF9-91FC-5E6D22B4F8AD}" name="Tecnología"/>
    <tableColumn id="4" xr3:uid="{A29687E6-41D8-416E-9137-F4E21B0878CB}" name="Subetapa"/>
    <tableColumn id="5" xr3:uid="{BFDBD78C-2ACF-4210-9DD3-B56FAEA475FE}" name="Categoría"/>
    <tableColumn id="6" xr3:uid="{6FD2B1B2-8D18-45C3-B8D6-F35D268A6F71}" name="Descripción del hallazgo"/>
    <tableColumn id="7" xr3:uid="{70AC6ED2-89A7-41A2-8C14-1E4CEF63A2D1}" name="Responsable"/>
    <tableColumn id="8" xr3:uid="{EA63E70D-110C-4A94-A373-2F33747D4A2D}" name="Estatus"/>
    <tableColumn id="9" xr3:uid="{6041000C-41C9-499F-BD7E-C5F863CCAE8F}" name="Criticidad"/>
    <tableColumn id="10" xr3:uid="{7A2ACD42-9A23-4C58-8E19-84E9081FE72E}" name="Prioridad"/>
    <tableColumn id="12" xr3:uid="{3BE6B2C4-660A-454D-9589-827177FE874B}" name="Fase de desarrollo"/>
    <tableColumn id="13" xr3:uid="{8913D122-23CF-4E82-9629-15D69DECFB97}" name="Fecha compromiso" dataDxfId="11"/>
    <tableColumn id="14" xr3:uid="{F25731A7-7D4F-4152-9F8F-56B1ADD4E9F1}" name="Fecha de solución" dataDxfId="10"/>
    <tableColumn id="15" xr3:uid="{CBB18A7F-A802-4C5A-8C5D-5C881B6BCED0}" name="Fecha de actualización" dataDxfId="9"/>
    <tableColumn id="16" xr3:uid="{161FAB89-2BDF-4AE4-8F9F-E6E75E98038D}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B9E9BF2-DEFC-40AC-AE8F-61A8A38E5E7A}" name="Acuerdos" displayName="Acuerdos" ref="A1:I4" totalsRowShown="0">
  <autoFilter ref="A1:I4" xr:uid="{AB9E9BF2-DEFC-40AC-AE8F-61A8A38E5E7A}"/>
  <tableColumns count="9">
    <tableColumn id="1" xr3:uid="{354FC429-C443-4809-B4C7-628A6F692F69}" name="No">
      <calculatedColumnFormula>ROW()-1</calculatedColumnFormula>
    </tableColumn>
    <tableColumn id="2" xr3:uid="{292625DF-1235-4796-977C-441576B68AB8}" name="Fecha de registro"/>
    <tableColumn id="3" xr3:uid="{560BF89D-A803-47E4-8D63-25B7DAF337EE}" name="Tecnología"/>
    <tableColumn id="4" xr3:uid="{D1DBE3B0-D85F-48A7-AD78-724482B79090}" name="Descripción"/>
    <tableColumn id="5" xr3:uid="{573DAEC4-20CE-4242-9E6F-98AB88D6EEB3}" name="Responsable"/>
    <tableColumn id="6" xr3:uid="{57D7F0F2-C530-43E1-8372-4EB46346CF46}" name="Estatus"/>
    <tableColumn id="7" xr3:uid="{10DCC79D-C9BC-4B46-8AF1-23B100C7A004}" name="Fecha compromiso"/>
    <tableColumn id="8" xr3:uid="{29082ABA-4920-41A6-A03A-3BB68AA8207A}" name="Fecha de solución"/>
    <tableColumn id="9" xr3:uid="{17746F76-A48B-445E-AEFE-7317FF7DDF54}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D6ED64D-80AC-4AD3-A773-D59621AFD596}" name="Documentacion" displayName="Documentacion" ref="A1:L103" totalsRowShown="0">
  <autoFilter ref="A1:L103" xr:uid="{FD6ED64D-80AC-4AD3-A773-D59621AFD596}"/>
  <tableColumns count="12">
    <tableColumn id="11" xr3:uid="{7B75D255-8644-4FBA-B46B-2DE7462DF2DD}" name="No">
      <calculatedColumnFormula>ROW()-1</calculatedColumnFormula>
    </tableColumn>
    <tableColumn id="1" xr3:uid="{85237541-F3B5-4661-931D-5188779974CB}" name="Tecnología"/>
    <tableColumn id="2" xr3:uid="{2A552E13-9BA4-428F-ACFF-150F1F5EA955}" name="Sprint"/>
    <tableColumn id="3" xr3:uid="{E535522A-84E4-4384-89FF-2C3A9360AD2B}" name="Fecha de inicio" dataDxfId="8">
      <calculatedColumnFormula>_xlfn.XLOOKUP(Documentacion[[#This Row],[Sprint]],Sprints[Sprint],Sprints[FechaInicio],"")</calculatedColumnFormula>
    </tableColumn>
    <tableColumn id="4" xr3:uid="{9D2615A6-9EB6-464E-821C-1D3ACD93DFB4}" name="Fecha de fin" dataDxfId="7">
      <calculatedColumnFormula>_xlfn.XLOOKUP(Documentacion[[#This Row],[Sprint]],Sprints[Sprint],Sprints[FechaFin],"")</calculatedColumnFormula>
    </tableColumn>
    <tableColumn id="5" xr3:uid="{4594A66A-CF55-43CF-BDC3-DBE6A3821E27}" name="Subetapa"/>
    <tableColumn id="7" xr3:uid="{542734AA-6DEB-4259-8F98-B586F977ED9F}" name="Estatus"/>
    <tableColumn id="8" xr3:uid="{34CDAF34-2899-47E1-8302-D59E0A5EED8E}" name="Fecha Presentación"/>
    <tableColumn id="12" xr3:uid="{14F9A30B-E019-4E18-9638-CD4F6AC1AA5B}" name="Se presentó a tiempo" dataDxfId="6">
      <calculatedColumnFormula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calculatedColumnFormula>
    </tableColumn>
    <tableColumn id="9" xr3:uid="{579FFA10-8FF3-4EFA-A93C-92FB0BF8C660}" name="Fecha Documento"/>
    <tableColumn id="13" xr3:uid="{E0581D85-EE5A-475E-9712-29B5826A5809}" name="Se entregó a tiempo" dataDxfId="5"/>
    <tableColumn id="10" xr3:uid="{901D085E-6EDF-4075-8A2F-080502FD98D4}" name="Observacion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ABB8109-C350-4D54-BE9D-16A64B34DABE}" name="Reuniones" displayName="Reuniones" ref="A1:J2" totalsRowShown="0">
  <autoFilter ref="A1:J2" xr:uid="{6ABB8109-C350-4D54-BE9D-16A64B34DABE}"/>
  <tableColumns count="10">
    <tableColumn id="1" xr3:uid="{8D966182-C19B-4400-A6A6-85E2979D482E}" name="Tecnología"/>
    <tableColumn id="2" xr3:uid="{BB53536A-8812-4671-B5ED-CEA909088C96}" name="Fecha"/>
    <tableColumn id="3" xr3:uid="{484966F1-BA1B-4B80-87B5-D9349D1C19CD}" name="Hora"/>
    <tableColumn id="4" xr3:uid="{23801DD5-FF5D-41A6-9E13-1C915CFEADB1}" name="Estatus"/>
    <tableColumn id="5" xr3:uid="{53BBFD20-0BDE-45F7-A551-BF64BB1D4320}" name="Asistieron"/>
    <tableColumn id="6" xr3:uid="{07E37EB9-0ADC-4C06-B949-6FA505B0885B}" name="No asistieron"/>
    <tableColumn id="7" xr3:uid="{ED117B9C-4DB2-4F26-83A0-5B25AC9DCED4}" name="Acuerdos (Resumen)"/>
    <tableColumn id="8" xr3:uid="{3367E277-EFFF-4252-BBF0-21B919BF1F21}" name="Comentarios"/>
    <tableColumn id="9" xr3:uid="{805A7C2B-0C2E-405C-BE44-FE8898253B8D}" name="Compromisos (Resumen)"/>
    <tableColumn id="10" xr3:uid="{DA14A6DF-6B1B-425C-8425-C3C6CE436B10}" name="Asunto de la reunió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7E8D8BF-C69B-4A0C-A77E-12A2FF2771EE}" name="Decisiones" displayName="Decisiones" ref="A1:I2" totalsRowShown="0">
  <autoFilter ref="A1:I2" xr:uid="{F7E8D8BF-C69B-4A0C-A77E-12A2FF2771EE}"/>
  <tableColumns count="9">
    <tableColumn id="1" xr3:uid="{83AB3AB1-BC9B-40C1-B5A7-CBDE3B28087E}" name="Id de la decisión"/>
    <tableColumn id="2" xr3:uid="{35A19C51-7307-4613-B371-437E1F7E0EC9}" name="Tecnologia"/>
    <tableColumn id="9" xr3:uid="{D2C63926-B0A0-43F0-8DED-31C672D182F1}" name="Subetapa"/>
    <tableColumn id="3" xr3:uid="{CE6ED415-3A0B-4F37-97DB-1C3BD49415F3}" name="Descripción del problema enfrentado"/>
    <tableColumn id="4" xr3:uid="{2392A25C-7D47-474A-A8B9-3E7D5CA8A84F}" name="Approach de solución"/>
    <tableColumn id="5" xr3:uid="{54877ABF-8D19-4C08-853E-0BC0F6BF3EC5}" name="Decisión"/>
    <tableColumn id="6" xr3:uid="{4FE135C0-6DAE-402F-8F30-CCB52D0485FB}" name="Responsable(s) de las decisiones"/>
    <tableColumn id="7" xr3:uid="{BBFA5207-CCBF-4171-A4A2-D8C029D60DA6}" name="Fecha de registro"/>
    <tableColumn id="8" xr3:uid="{14E0D1A3-6D29-4A12-B27F-16A76B7DAFBF}" name="E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ECB05-448E-4605-A83E-59552FD17C87}" name="Proyectos" displayName="Proyectos" ref="A1:A4" totalsRowShown="0">
  <autoFilter ref="A1:A4" xr:uid="{EB0ECB05-448E-4605-A83E-59552FD17C87}"/>
  <tableColumns count="1">
    <tableColumn id="1" xr3:uid="{9EA8C2E1-3AAB-43C0-9FEE-AA1B9BFF458D}" name="Proyecto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460B43-E18F-42DF-B4B3-78B8050DDD98}" name="Arquitectos" displayName="Arquitectos" ref="B1:B3" totalsRowShown="0">
  <autoFilter ref="B1:B3" xr:uid="{BE460B43-E18F-42DF-B4B3-78B8050DDD98}"/>
  <tableColumns count="1">
    <tableColumn id="1" xr3:uid="{18F1D21B-92AF-4A1A-9AA8-5BC052480522}" name="Arquitectos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9CDAFF-450E-474F-9EA1-A49B6A487AFE}" name="EstatusReuniones" displayName="EstatusReuniones" ref="C1:C5" totalsRowShown="0">
  <autoFilter ref="C1:C5" xr:uid="{899CDAFF-450E-474F-9EA1-A49B6A487AFE}"/>
  <tableColumns count="1">
    <tableColumn id="1" xr3:uid="{28ECAC39-0A93-4C18-A61D-9C4185DBA6B6}" name="EstatusReuniones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EDD6AB-C976-4950-A1C3-FC19D505D70E}" name="Tecnologias" displayName="Tecnologias" ref="D1:D5" totalsRowShown="0">
  <autoFilter ref="D1:D5" xr:uid="{CFEDD6AB-C976-4950-A1C3-FC19D505D70E}"/>
  <tableColumns count="1">
    <tableColumn id="1" xr3:uid="{BF6C77F1-9027-4F5B-BC66-DD7B102BF0A5}" name="Tecnologías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BFBD48-4B31-4E6D-B76F-DCE12D541C6C}" name="Sprints" displayName="Sprints" ref="E1:G4" totalsRowShown="0">
  <autoFilter ref="E1:G4" xr:uid="{45BFBD48-4B31-4E6D-B76F-DCE12D541C6C}"/>
  <tableColumns count="3">
    <tableColumn id="1" xr3:uid="{00BEA91A-7427-4E67-BD15-A3CD4D264FC0}" name="Sprint"/>
    <tableColumn id="2" xr3:uid="{B1EC061D-2610-4FD0-95EE-0D3B9CAD9EF0}" name="FechaInicio" dataDxfId="4"/>
    <tableColumn id="3" xr3:uid="{6E313A28-5992-4636-BA58-F8F29CC2213F}" name="FechaFin" dataDxfId="3"/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01F68C-B203-4626-AED3-144198810BA8}" name="EstatusAcuerdos" displayName="EstatusAcuerdos" ref="H1:H8" totalsRowShown="0">
  <autoFilter ref="H1:H8" xr:uid="{ED01F68C-B203-4626-AED3-144198810BA8}"/>
  <tableColumns count="1">
    <tableColumn id="1" xr3:uid="{4680F56C-37F1-4741-8CB0-8769FC2119A9}" name="Estatus Acuerdo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66266F-9B07-4A14-8FC4-7171047BCDF3}" name="EstatusHallazgos" displayName="EstatusHallazgos" ref="I1:I7" totalsRowShown="0">
  <autoFilter ref="I1:I7" xr:uid="{B166266F-9B07-4A14-8FC4-7171047BCDF3}"/>
  <tableColumns count="1">
    <tableColumn id="1" xr3:uid="{D86C1EB0-0798-4577-A935-943898C0B441}" name="Estatus Hallazgos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B872EF3-16BD-48F9-8016-3B38018D3227}" name="Criticidad" displayName="Criticidad" ref="J1:J6" totalsRowShown="0">
  <autoFilter ref="J1:J6" xr:uid="{7B872EF3-16BD-48F9-8016-3B38018D3227}"/>
  <tableColumns count="1">
    <tableColumn id="1" xr3:uid="{149AEDF2-426D-44FB-8844-DF02EEEA8A0E}" name="Criticidad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6FA0CDE-9265-4FB3-A055-0DBCFAC4199C}" name="Prioridades" displayName="Prioridades" ref="K1:K4" totalsRowShown="0">
  <autoFilter ref="K1:K4" xr:uid="{16FA0CDE-9265-4FB3-A055-0DBCFAC4199C}"/>
  <tableColumns count="1">
    <tableColumn id="1" xr3:uid="{778416C7-E2AF-4659-B36A-71886FE7BA08}" name="Prioridad"/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F30C0E4-F82F-4239-BE0D-EDB0AA737B55}" name="FasesDesarrollo" displayName="FasesDesarrollo" ref="L1:L9" totalsRowShown="0">
  <autoFilter ref="L1:L9" xr:uid="{0F30C0E4-F82F-4239-BE0D-EDB0AA737B55}"/>
  <tableColumns count="1">
    <tableColumn id="1" xr3:uid="{CD005FD4-D891-4521-A941-BE6DC562C2A3}" name="Fases de desarrollo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9ED24E7-BC67-431A-BF9F-E5C7BCAFBB39}" name="Subetapas" displayName="Subetapas" ref="M1:M35" totalsRowShown="0">
  <autoFilter ref="M1:M35" xr:uid="{39ED24E7-BC67-431A-BF9F-E5C7BCAFBB39}"/>
  <tableColumns count="1">
    <tableColumn id="1" xr3:uid="{D7C28A9E-7245-4DD0-B11B-870239905364}" name="Subetapas"/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AEB1B88-D3B4-4312-AC4B-0282C41726C2}" name="CategoriaHallazgos" displayName="CategoriaHallazgos" ref="N1:N8" totalsRowShown="0">
  <autoFilter ref="N1:N8" xr:uid="{1AEB1B88-D3B4-4312-AC4B-0282C41726C2}"/>
  <tableColumns count="1">
    <tableColumn id="1" xr3:uid="{71AA1AF5-7755-4E0F-A4F6-696E39B3B06A}" name="CategoriaHallazgos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C94F0CF-1999-4376-A318-E27FB20F92EE}" name="Responsables" displayName="Responsables" ref="O1:P13" totalsRowShown="0">
  <autoFilter ref="O1:P13" xr:uid="{AC94F0CF-1999-4376-A318-E27FB20F92EE}"/>
  <tableColumns count="2">
    <tableColumn id="1" xr3:uid="{FA499285-F158-4240-BC63-12A76FF0E389}" name="Tecnología"/>
    <tableColumn id="2" xr3:uid="{B31E49AC-5C7C-4236-B2F6-5624C70B9251}" name="Nomb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BF5B84D-69E1-4B91-9EA4-B21DB46AE843}" name="EstatusDecisiones" displayName="EstatusDecisiones" ref="Q1:Q5" totalsRowShown="0">
  <autoFilter ref="Q1:Q5" xr:uid="{ABF5B84D-69E1-4B91-9EA4-B21DB46AE843}"/>
  <tableColumns count="1">
    <tableColumn id="1" xr3:uid="{34ED5E01-4923-4CAD-A4D6-B7FED91D321C}" name="EstatusDecisiones"/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4C5B73D-449D-492D-AA80-5AD1A9ECB07E}" name="EstatusDocumentacion" displayName="EstatusDocumentacion" ref="R1:R11" totalsRowShown="0">
  <autoFilter ref="R1:R11" xr:uid="{24C5B73D-449D-492D-AA80-5AD1A9ECB07E}"/>
  <tableColumns count="1">
    <tableColumn id="1" xr3:uid="{B055024A-7746-4A99-BACF-2C8B116D8C11}" name="EstatusDocumentacion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BCE8058-4BF2-405E-A861-C02C76C4C250}" name="SprintSubetapas" displayName="SprintSubetapas" ref="S1:T35" totalsRowShown="0">
  <autoFilter ref="S1:T35" xr:uid="{4BCE8058-4BF2-405E-A861-C02C76C4C250}"/>
  <tableColumns count="2">
    <tableColumn id="1" xr3:uid="{A7DF5D1D-B81E-42B8-9082-5AD396C1D262}" name="Sprint"/>
    <tableColumn id="2" xr3:uid="{536B876A-4B1E-47CA-B5D2-2876ED184D87}" name="Subetap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E3F9-8ABD-453A-B4F2-1AC3547D4AFD}">
  <dimension ref="A1:BV18"/>
  <sheetViews>
    <sheetView tabSelected="1" topLeftCell="A6" zoomScale="118" zoomScaleNormal="118" workbookViewId="0">
      <selection activeCell="AZ9" sqref="AZ9"/>
    </sheetView>
  </sheetViews>
  <sheetFormatPr baseColWidth="10" defaultColWidth="2.77734375" defaultRowHeight="14.4" x14ac:dyDescent="0.3"/>
  <cols>
    <col min="1" max="42" width="2.77734375" style="7" customWidth="1"/>
    <col min="43" max="43" width="2.77734375" style="8" customWidth="1"/>
    <col min="75" max="16384" width="2.77734375" style="7"/>
  </cols>
  <sheetData>
    <row r="1" spans="1:43" ht="14.4" customHeight="1" x14ac:dyDescent="0.3">
      <c r="A1" s="13" t="s">
        <v>150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</row>
    <row r="2" spans="1:43" ht="14.4" customHeight="1" thickBot="1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spans="1:43" ht="15" thickTop="1" x14ac:dyDescent="0.3">
      <c r="A3" s="9" t="s">
        <v>149</v>
      </c>
      <c r="B3" s="9"/>
      <c r="C3" s="9"/>
      <c r="D3" s="9"/>
      <c r="E3" s="9"/>
      <c r="F3" s="9"/>
      <c r="G3" s="11" t="s">
        <v>147</v>
      </c>
      <c r="H3" s="11"/>
      <c r="I3" s="11"/>
      <c r="J3" s="11"/>
      <c r="K3" s="11"/>
      <c r="L3" s="11"/>
      <c r="M3" s="11"/>
      <c r="N3" s="11"/>
      <c r="O3" s="11"/>
      <c r="P3" s="11"/>
      <c r="AH3" s="12" t="s">
        <v>2</v>
      </c>
      <c r="AI3" s="12"/>
      <c r="AJ3" s="12"/>
      <c r="AK3" s="12"/>
      <c r="AL3" s="11" t="s">
        <v>41</v>
      </c>
      <c r="AM3" s="11"/>
      <c r="AN3" s="11"/>
      <c r="AO3" s="11"/>
      <c r="AP3" s="11"/>
      <c r="AQ3" s="11"/>
    </row>
    <row r="4" spans="1:43" x14ac:dyDescent="0.3">
      <c r="A4" s="12" t="s">
        <v>18</v>
      </c>
      <c r="B4" s="12"/>
      <c r="C4" s="12"/>
      <c r="D4" s="12"/>
      <c r="E4" s="12"/>
      <c r="F4" s="15">
        <v>46301</v>
      </c>
      <c r="G4" s="15"/>
      <c r="H4" s="15"/>
      <c r="I4" s="15"/>
      <c r="J4" s="15"/>
      <c r="K4" s="15"/>
      <c r="L4" s="17" t="s">
        <v>19</v>
      </c>
      <c r="M4" s="17"/>
      <c r="N4" s="17"/>
      <c r="O4" s="17"/>
      <c r="P4" s="16">
        <f>FechaInicioReporte+6</f>
        <v>46307</v>
      </c>
      <c r="Q4" s="16"/>
      <c r="R4" s="16"/>
      <c r="S4" s="16"/>
      <c r="T4" s="16"/>
      <c r="U4" s="16"/>
      <c r="AH4" s="12" t="s">
        <v>148</v>
      </c>
      <c r="AI4" s="12"/>
      <c r="AJ4" s="12"/>
      <c r="AK4" s="12"/>
      <c r="AL4" s="11" t="s">
        <v>32</v>
      </c>
      <c r="AM4" s="11"/>
      <c r="AN4" s="11"/>
      <c r="AO4" s="11"/>
      <c r="AP4" s="11"/>
      <c r="AQ4" s="11"/>
    </row>
    <row r="18" spans="43:43" x14ac:dyDescent="0.3">
      <c r="AQ18" s="7"/>
    </row>
  </sheetData>
  <mergeCells count="10">
    <mergeCell ref="AL3:AQ3"/>
    <mergeCell ref="AL4:AQ4"/>
    <mergeCell ref="AH4:AK4"/>
    <mergeCell ref="A1:AQ2"/>
    <mergeCell ref="AH3:AK3"/>
    <mergeCell ref="G3:P3"/>
    <mergeCell ref="F4:K4"/>
    <mergeCell ref="P4:U4"/>
    <mergeCell ref="A4:E4"/>
    <mergeCell ref="L4:O4"/>
  </mergeCells>
  <dataValidations disablePrompts="1" count="1">
    <dataValidation type="list" allowBlank="1" showInputMessage="1" showErrorMessage="1" sqref="AL3" xr:uid="{3C199240-30E3-45A7-8FFC-FB213355FA0F}">
      <formula1>INDIRECT("Tecnologias")</formula1>
    </dataValidation>
  </dataValidation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F410-4307-47FB-85B9-2C092061267A}">
  <dimension ref="A1:H34"/>
  <sheetViews>
    <sheetView topLeftCell="A3" workbookViewId="0">
      <selection activeCell="H12" sqref="H12"/>
    </sheetView>
  </sheetViews>
  <sheetFormatPr baseColWidth="10" defaultRowHeight="14.4" x14ac:dyDescent="0.3"/>
  <cols>
    <col min="1" max="1" width="13.44140625" bestFit="1" customWidth="1"/>
    <col min="2" max="2" width="9.5546875" bestFit="1" customWidth="1"/>
    <col min="3" max="3" width="13.5546875" bestFit="1" customWidth="1"/>
    <col min="4" max="4" width="14" bestFit="1" customWidth="1"/>
    <col min="5" max="6" width="12.44140625" bestFit="1" customWidth="1"/>
    <col min="7" max="7" width="9.5546875" bestFit="1" customWidth="1"/>
    <col min="8" max="8" width="11.109375" bestFit="1" customWidth="1"/>
  </cols>
  <sheetData>
    <row r="1" spans="1:8" ht="20.399999999999999" thickBot="1" x14ac:dyDescent="0.45">
      <c r="A1" s="18" t="s">
        <v>152</v>
      </c>
      <c r="B1" s="18"/>
      <c r="C1" s="18"/>
      <c r="D1" s="18"/>
      <c r="E1" s="18"/>
      <c r="F1" s="18"/>
      <c r="G1" s="18"/>
    </row>
    <row r="2" spans="1:8" ht="15" thickTop="1" x14ac:dyDescent="0.3">
      <c r="A2" t="s">
        <v>2</v>
      </c>
      <c r="B2" t="s">
        <v>49</v>
      </c>
      <c r="C2" t="s">
        <v>53</v>
      </c>
      <c r="D2" t="s">
        <v>57</v>
      </c>
      <c r="E2" t="s">
        <v>61</v>
      </c>
      <c r="F2" t="s">
        <v>64</v>
      </c>
      <c r="G2" t="s">
        <v>151</v>
      </c>
      <c r="H2" t="s">
        <v>156</v>
      </c>
    </row>
    <row r="3" spans="1:8" x14ac:dyDescent="0.3">
      <c r="A3" t="s">
        <v>41</v>
      </c>
      <c r="B3">
        <f>COUNTIFS(Hallazgos[Tecnología],HallazgosTotales[[#This Row],[Tecnología]],Hallazgos[Estatus],HallazgosTotales[[#Headers],[Abierto]])</f>
        <v>1</v>
      </c>
      <c r="C3">
        <f>COUNTIFS(Hallazgos[Tecnología],HallazgosTotales[[#This Row],[Tecnología]],Hallazgos[Estatus],HallazgosTotales[[#Headers],[En progreso]])</f>
        <v>1</v>
      </c>
      <c r="D3">
        <f>COUNTIFS(Hallazgos[Tecnología],HallazgosTotales[[#This Row],[Tecnología]],Hallazgos[Estatus],HallazgosTotales[[#Headers],[Completado]])</f>
        <v>1</v>
      </c>
      <c r="E3">
        <f>COUNTIFS(Hallazgos[Tecnología],HallazgosTotales[[#This Row],[Tecnología]],Hallazgos[Estatus],HallazgosTotales[[#Headers],[Cancelado]])</f>
        <v>1</v>
      </c>
      <c r="F3">
        <f>COUNTIFS(Hallazgos[Tecnología],HallazgosTotales[[#This Row],[Tecnología]],Hallazgos[Estatus],HallazgosTotales[[#Headers],[Bloqueado]])</f>
        <v>0</v>
      </c>
      <c r="G3">
        <f>SUM(HallazgosTotales[[#This Row],[Abierto]:[Bloqueado]])</f>
        <v>4</v>
      </c>
      <c r="H3" t="str">
        <f>CONCATENATE("Total :",HallazgosTotales[[#This Row],[Totales]])</f>
        <v>Total :4</v>
      </c>
    </row>
    <row r="4" spans="1:8" x14ac:dyDescent="0.3">
      <c r="A4" t="s">
        <v>40</v>
      </c>
      <c r="B4">
        <f>COUNTIFS(Hallazgos[Tecnología],HallazgosTotales[[#This Row],[Tecnología]],Hallazgos[Estatus],HallazgosTotales[[#Headers],[Abierto]])</f>
        <v>0</v>
      </c>
      <c r="C4">
        <f>COUNTIFS(Hallazgos[Tecnología],HallazgosTotales[[#This Row],[Tecnología]],Hallazgos[Estatus],HallazgosTotales[[#Headers],[En progreso]])</f>
        <v>0</v>
      </c>
      <c r="D4">
        <f>COUNTIFS(Hallazgos[Tecnología],HallazgosTotales[[#This Row],[Tecnología]],Hallazgos[Estatus],HallazgosTotales[[#Headers],[Completado]])</f>
        <v>0</v>
      </c>
      <c r="E4">
        <f>COUNTIFS(Hallazgos[Tecnología],HallazgosTotales[[#This Row],[Tecnología]],Hallazgos[Estatus],HallazgosTotales[[#Headers],[Cancelado]])</f>
        <v>0</v>
      </c>
      <c r="F4">
        <f>COUNTIFS(Hallazgos[Tecnología],HallazgosTotales[[#This Row],[Tecnología]],Hallazgos[Estatus],HallazgosTotales[[#Headers],[Bloqueado]])</f>
        <v>0</v>
      </c>
      <c r="G4">
        <f>SUM(HallazgosTotales[[#This Row],[Abierto]:[Bloqueado]])</f>
        <v>0</v>
      </c>
      <c r="H4" t="str">
        <f>CONCATENATE("Total :",HallazgosTotales[[#This Row],[Totales]])</f>
        <v>Total :0</v>
      </c>
    </row>
    <row r="5" spans="1:8" x14ac:dyDescent="0.3">
      <c r="A5" t="s">
        <v>42</v>
      </c>
      <c r="B5">
        <f>COUNTIFS(Hallazgos[Tecnología],HallazgosTotales[[#This Row],[Tecnología]],Hallazgos[Estatus],HallazgosTotales[[#Headers],[Abierto]])</f>
        <v>0</v>
      </c>
      <c r="C5">
        <f>COUNTIFS(Hallazgos[Tecnología],HallazgosTotales[[#This Row],[Tecnología]],Hallazgos[Estatus],HallazgosTotales[[#Headers],[En progreso]])</f>
        <v>0</v>
      </c>
      <c r="D5">
        <f>COUNTIFS(Hallazgos[Tecnología],HallazgosTotales[[#This Row],[Tecnología]],Hallazgos[Estatus],HallazgosTotales[[#Headers],[Completado]])</f>
        <v>0</v>
      </c>
      <c r="E5">
        <f>COUNTIFS(Hallazgos[Tecnología],HallazgosTotales[[#This Row],[Tecnología]],Hallazgos[Estatus],HallazgosTotales[[#Headers],[Cancelado]])</f>
        <v>0</v>
      </c>
      <c r="F5">
        <f>COUNTIFS(Hallazgos[Tecnología],HallazgosTotales[[#This Row],[Tecnología]],Hallazgos[Estatus],HallazgosTotales[[#Headers],[Bloqueado]])</f>
        <v>0</v>
      </c>
      <c r="G5">
        <f>SUM(HallazgosTotales[[#This Row],[Abierto]:[Bloqueado]])</f>
        <v>0</v>
      </c>
      <c r="H5" t="str">
        <f>CONCATENATE("Total :",HallazgosTotales[[#This Row],[Totales]])</f>
        <v>Total :0</v>
      </c>
    </row>
    <row r="6" spans="1:8" x14ac:dyDescent="0.3">
      <c r="A6" t="s">
        <v>43</v>
      </c>
      <c r="B6">
        <f>COUNTIFS(Hallazgos[Tecnología],HallazgosTotales[[#This Row],[Tecnología]],Hallazgos[Estatus],HallazgosTotales[[#Headers],[Abierto]])</f>
        <v>0</v>
      </c>
      <c r="C6">
        <f>COUNTIFS(Hallazgos[Tecnología],HallazgosTotales[[#This Row],[Tecnología]],Hallazgos[Estatus],HallazgosTotales[[#Headers],[En progreso]])</f>
        <v>0</v>
      </c>
      <c r="D6">
        <f>COUNTIFS(Hallazgos[Tecnología],HallazgosTotales[[#This Row],[Tecnología]],Hallazgos[Estatus],HallazgosTotales[[#Headers],[Completado]])</f>
        <v>0</v>
      </c>
      <c r="E6">
        <f>COUNTIFS(Hallazgos[Tecnología],HallazgosTotales[[#This Row],[Tecnología]],Hallazgos[Estatus],HallazgosTotales[[#Headers],[Cancelado]])</f>
        <v>0</v>
      </c>
      <c r="F6">
        <f>COUNTIFS(Hallazgos[Tecnología],HallazgosTotales[[#This Row],[Tecnología]],Hallazgos[Estatus],HallazgosTotales[[#Headers],[Bloqueado]])</f>
        <v>0</v>
      </c>
      <c r="G6">
        <f>SUM(HallazgosTotales[[#This Row],[Abierto]:[Bloqueado]])</f>
        <v>0</v>
      </c>
      <c r="H6" t="str">
        <f>CONCATENATE("Total :",HallazgosTotales[[#This Row],[Totales]])</f>
        <v>Total :0</v>
      </c>
    </row>
    <row r="7" spans="1:8" x14ac:dyDescent="0.3">
      <c r="A7" t="s">
        <v>151</v>
      </c>
      <c r="B7">
        <f>SUBTOTAL(109,HallazgosTotales[Abierto])</f>
        <v>1</v>
      </c>
      <c r="C7">
        <f>SUBTOTAL(109,HallazgosTotales[En progreso])</f>
        <v>1</v>
      </c>
      <c r="D7">
        <f>SUBTOTAL(109,HallazgosTotales[Completado])</f>
        <v>1</v>
      </c>
      <c r="E7">
        <f>SUBTOTAL(109,HallazgosTotales[Cancelado])</f>
        <v>1</v>
      </c>
      <c r="F7">
        <f>SUBTOTAL(109,HallazgosTotales[Bloqueado])</f>
        <v>0</v>
      </c>
      <c r="G7">
        <f>SUBTOTAL(109,HallazgosTotales[Totales])</f>
        <v>4</v>
      </c>
    </row>
    <row r="10" spans="1:8" ht="20.399999999999999" thickBot="1" x14ac:dyDescent="0.45">
      <c r="A10" s="19" t="s">
        <v>153</v>
      </c>
      <c r="B10" s="19"/>
      <c r="C10" s="19"/>
      <c r="D10" s="19"/>
      <c r="E10" s="19"/>
      <c r="F10" s="19"/>
      <c r="G10" s="18"/>
    </row>
    <row r="11" spans="1:8" ht="15" thickTop="1" x14ac:dyDescent="0.3">
      <c r="A11" t="s">
        <v>2</v>
      </c>
      <c r="B11" t="s">
        <v>49</v>
      </c>
      <c r="C11" t="s">
        <v>53</v>
      </c>
      <c r="D11" t="s">
        <v>57</v>
      </c>
      <c r="E11" t="s">
        <v>61</v>
      </c>
      <c r="F11" t="s">
        <v>64</v>
      </c>
      <c r="G11" t="s">
        <v>151</v>
      </c>
      <c r="H11" t="s">
        <v>138</v>
      </c>
    </row>
    <row r="12" spans="1:8" x14ac:dyDescent="0.3">
      <c r="A12" t="s">
        <v>41</v>
      </c>
      <c r="B12">
        <f>COUNTIFS(Acuerdos[Tecnología],AcuerdosTotales[[#This Row],[Tecnología]],Acuerdos[Estatus],AcuerdosTotales[[#Headers],[Abierto]])</f>
        <v>1</v>
      </c>
      <c r="C12">
        <f>COUNTIFS(Acuerdos[Tecnología],AcuerdosTotales[[#This Row],[Tecnología]],Acuerdos[Estatus],AcuerdosTotales[[#Headers],[En progreso]])</f>
        <v>2</v>
      </c>
      <c r="D12">
        <f>COUNTIFS(Acuerdos[Tecnología],AcuerdosTotales[[#This Row],[Tecnología]],Acuerdos[Estatus],AcuerdosTotales[[#Headers],[Completado]])</f>
        <v>0</v>
      </c>
      <c r="E12">
        <f>COUNTIFS(Acuerdos[Tecnología],AcuerdosTotales[[#This Row],[Tecnología]],Acuerdos[Estatus],AcuerdosTotales[[#Headers],[Cancelado]])</f>
        <v>0</v>
      </c>
      <c r="F12">
        <f>COUNTIFS(Acuerdos[Tecnología],AcuerdosTotales[[#This Row],[Tecnología]],Acuerdos[Estatus],AcuerdosTotales[[#Headers],[Bloqueado]])</f>
        <v>0</v>
      </c>
      <c r="G12">
        <f>SUM(AcuerdosTotales[[#This Row],[Abierto]:[Bloqueado]])</f>
        <v>3</v>
      </c>
      <c r="H12" t="str">
        <f>CONCATENATE("Total :",AcuerdosTotales[[#This Row],[Totales]])</f>
        <v>Total :3</v>
      </c>
    </row>
    <row r="13" spans="1:8" x14ac:dyDescent="0.3">
      <c r="A13" t="s">
        <v>40</v>
      </c>
      <c r="B13">
        <f>COUNTIFS(Acuerdos[Tecnología],AcuerdosTotales[[#This Row],[Tecnología]],Acuerdos[Estatus],AcuerdosTotales[[#Headers],[Abierto]])</f>
        <v>0</v>
      </c>
      <c r="C13">
        <f>COUNTIFS(Acuerdos[Tecnología],AcuerdosTotales[[#This Row],[Tecnología]],Acuerdos[Estatus],AcuerdosTotales[[#Headers],[En progreso]])</f>
        <v>0</v>
      </c>
      <c r="D13">
        <f>COUNTIFS(Acuerdos[Tecnología],AcuerdosTotales[[#This Row],[Tecnología]],Acuerdos[Estatus],AcuerdosTotales[[#Headers],[Completado]])</f>
        <v>0</v>
      </c>
      <c r="E13">
        <f>COUNTIFS(Acuerdos[Tecnología],AcuerdosTotales[[#This Row],[Tecnología]],Acuerdos[Estatus],AcuerdosTotales[[#Headers],[Cancelado]])</f>
        <v>0</v>
      </c>
      <c r="F13">
        <f>COUNTIFS(Acuerdos[Tecnología],AcuerdosTotales[[#This Row],[Tecnología]],Acuerdos[Estatus],AcuerdosTotales[[#Headers],[Bloqueado]])</f>
        <v>0</v>
      </c>
      <c r="G13">
        <f>SUM(AcuerdosTotales[[#This Row],[Abierto]:[Bloqueado]])</f>
        <v>0</v>
      </c>
      <c r="H13" t="str">
        <f>CONCATENATE("Total :",AcuerdosTotales[[#This Row],[Totales]])</f>
        <v>Total :0</v>
      </c>
    </row>
    <row r="14" spans="1:8" x14ac:dyDescent="0.3">
      <c r="A14" t="s">
        <v>42</v>
      </c>
      <c r="B14">
        <f>COUNTIFS(Acuerdos[Tecnología],AcuerdosTotales[[#This Row],[Tecnología]],Acuerdos[Estatus],AcuerdosTotales[[#Headers],[Abierto]])</f>
        <v>0</v>
      </c>
      <c r="C14">
        <f>COUNTIFS(Acuerdos[Tecnología],AcuerdosTotales[[#This Row],[Tecnología]],Acuerdos[Estatus],AcuerdosTotales[[#Headers],[En progreso]])</f>
        <v>0</v>
      </c>
      <c r="D14">
        <f>COUNTIFS(Acuerdos[Tecnología],AcuerdosTotales[[#This Row],[Tecnología]],Acuerdos[Estatus],AcuerdosTotales[[#Headers],[Completado]])</f>
        <v>0</v>
      </c>
      <c r="E14">
        <f>COUNTIFS(Acuerdos[Tecnología],AcuerdosTotales[[#This Row],[Tecnología]],Acuerdos[Estatus],AcuerdosTotales[[#Headers],[Cancelado]])</f>
        <v>0</v>
      </c>
      <c r="F14">
        <f>COUNTIFS(Acuerdos[Tecnología],AcuerdosTotales[[#This Row],[Tecnología]],Acuerdos[Estatus],AcuerdosTotales[[#Headers],[Bloqueado]])</f>
        <v>0</v>
      </c>
      <c r="G14">
        <f>SUM(AcuerdosTotales[[#This Row],[Abierto]:[Bloqueado]])</f>
        <v>0</v>
      </c>
      <c r="H14" t="str">
        <f>CONCATENATE("Total :",AcuerdosTotales[[#This Row],[Totales]])</f>
        <v>Total :0</v>
      </c>
    </row>
    <row r="15" spans="1:8" x14ac:dyDescent="0.3">
      <c r="A15" t="s">
        <v>43</v>
      </c>
      <c r="B15">
        <f>COUNTIFS(Acuerdos[Tecnología],AcuerdosTotales[[#This Row],[Tecnología]],Acuerdos[Estatus],AcuerdosTotales[[#Headers],[Abierto]])</f>
        <v>0</v>
      </c>
      <c r="C15">
        <f>COUNTIFS(Acuerdos[Tecnología],AcuerdosTotales[[#This Row],[Tecnología]],Acuerdos[Estatus],AcuerdosTotales[[#Headers],[En progreso]])</f>
        <v>0</v>
      </c>
      <c r="D15">
        <f>COUNTIFS(Acuerdos[Tecnología],AcuerdosTotales[[#This Row],[Tecnología]],Acuerdos[Estatus],AcuerdosTotales[[#Headers],[Completado]])</f>
        <v>0</v>
      </c>
      <c r="E15">
        <f>COUNTIFS(Acuerdos[Tecnología],AcuerdosTotales[[#This Row],[Tecnología]],Acuerdos[Estatus],AcuerdosTotales[[#Headers],[Cancelado]])</f>
        <v>0</v>
      </c>
      <c r="F15">
        <f>COUNTIFS(Acuerdos[Tecnología],AcuerdosTotales[[#This Row],[Tecnología]],Acuerdos[Estatus],AcuerdosTotales[[#Headers],[Bloqueado]])</f>
        <v>0</v>
      </c>
      <c r="G15">
        <f>SUM(AcuerdosTotales[[#This Row],[Abierto]:[Bloqueado]])</f>
        <v>0</v>
      </c>
      <c r="H15" t="str">
        <f>CONCATENATE("Total :",AcuerdosTotales[[#This Row],[Totales]])</f>
        <v>Total :0</v>
      </c>
    </row>
    <row r="16" spans="1:8" x14ac:dyDescent="0.3">
      <c r="A16" t="s">
        <v>151</v>
      </c>
      <c r="B16">
        <f>SUBTOTAL(109,AcuerdosTotales[Abierto])</f>
        <v>1</v>
      </c>
      <c r="C16">
        <f>SUBTOTAL(109,AcuerdosTotales[En progreso])</f>
        <v>2</v>
      </c>
      <c r="D16">
        <f>SUBTOTAL(109,AcuerdosTotales[Completado])</f>
        <v>0</v>
      </c>
      <c r="E16">
        <f>SUBTOTAL(109,AcuerdosTotales[Cancelado])</f>
        <v>0</v>
      </c>
      <c r="F16">
        <f>SUBTOTAL(109,AcuerdosTotales[Bloqueado])</f>
        <v>0</v>
      </c>
      <c r="G16">
        <f>SUBTOTAL(109,AcuerdosTotales[Totales])</f>
        <v>3</v>
      </c>
    </row>
    <row r="19" spans="1:7" ht="20.399999999999999" thickBot="1" x14ac:dyDescent="0.45">
      <c r="A19" s="19" t="s">
        <v>154</v>
      </c>
      <c r="B19" s="19"/>
      <c r="C19" s="19"/>
      <c r="D19" s="19"/>
      <c r="E19" s="19"/>
      <c r="F19" s="18"/>
      <c r="G19" s="18"/>
    </row>
    <row r="20" spans="1:7" ht="15" thickTop="1" x14ac:dyDescent="0.3">
      <c r="A20" t="s">
        <v>2</v>
      </c>
      <c r="B20" t="s">
        <v>54</v>
      </c>
      <c r="C20" t="s">
        <v>58</v>
      </c>
      <c r="D20" t="s">
        <v>62</v>
      </c>
      <c r="E20" t="s">
        <v>65</v>
      </c>
      <c r="F20" t="s">
        <v>151</v>
      </c>
      <c r="G20" t="s">
        <v>138</v>
      </c>
    </row>
    <row r="21" spans="1:7" x14ac:dyDescent="0.3">
      <c r="A21" t="s">
        <v>41</v>
      </c>
      <c r="B21">
        <f>COUNTIFS(Hallazgos[Tecnología],HallazgosCriticidad[[#This Row],[Tecnología]],Hallazgos[Criticidad],HallazgosCriticidad[[#Headers],[Crítico]])</f>
        <v>1</v>
      </c>
      <c r="C21">
        <f>COUNTIFS(Hallazgos[Tecnología],HallazgosCriticidad[[#This Row],[Tecnología]],Hallazgos[Criticidad],HallazgosCriticidad[[#Headers],[Mayor]])</f>
        <v>1</v>
      </c>
      <c r="D21">
        <f>COUNTIFS(Hallazgos[Tecnología],HallazgosCriticidad[[#This Row],[Tecnología]],Hallazgos[Criticidad],HallazgosCriticidad[[#Headers],[Menor]])</f>
        <v>2</v>
      </c>
      <c r="E21">
        <f>COUNTIFS(Hallazgos[Tecnología],HallazgosCriticidad[[#This Row],[Tecnología]],Hallazgos[Criticidad],HallazgosCriticidad[[#Headers],[Sugerencia]])</f>
        <v>0</v>
      </c>
      <c r="F21">
        <f>SUM(HallazgosCriticidad[[#This Row],[Crítico]:[Sugerencia]])</f>
        <v>4</v>
      </c>
      <c r="G21" t="str">
        <f>CONCATENATE("Total :",HallazgosCriticidad[[#This Row],[Totales]])</f>
        <v>Total :4</v>
      </c>
    </row>
    <row r="22" spans="1:7" x14ac:dyDescent="0.3">
      <c r="A22" t="s">
        <v>40</v>
      </c>
      <c r="B22">
        <f>COUNTIFS(Hallazgos[Tecnología],HallazgosCriticidad[[#This Row],[Tecnología]],Hallazgos[Criticidad],HallazgosCriticidad[[#Headers],[Crítico]])</f>
        <v>0</v>
      </c>
      <c r="C22">
        <f>COUNTIFS(Hallazgos[Tecnología],HallazgosCriticidad[[#This Row],[Tecnología]],Hallazgos[Criticidad],HallazgosCriticidad[[#Headers],[Mayor]])</f>
        <v>0</v>
      </c>
      <c r="D22">
        <f>COUNTIFS(Hallazgos[Tecnología],HallazgosCriticidad[[#This Row],[Tecnología]],Hallazgos[Criticidad],HallazgosCriticidad[[#Headers],[Menor]])</f>
        <v>0</v>
      </c>
      <c r="E22">
        <f>COUNTIFS(Hallazgos[Tecnología],HallazgosCriticidad[[#This Row],[Tecnología]],Hallazgos[Criticidad],HallazgosCriticidad[[#Headers],[Sugerencia]])</f>
        <v>0</v>
      </c>
      <c r="F22">
        <f>SUM(HallazgosCriticidad[[#This Row],[Crítico]:[Sugerencia]])</f>
        <v>0</v>
      </c>
      <c r="G22" t="str">
        <f>CONCATENATE("Total :",HallazgosCriticidad[[#This Row],[Totales]])</f>
        <v>Total :0</v>
      </c>
    </row>
    <row r="23" spans="1:7" x14ac:dyDescent="0.3">
      <c r="A23" t="s">
        <v>42</v>
      </c>
      <c r="B23">
        <f>COUNTIFS(Hallazgos[Tecnología],HallazgosCriticidad[[#This Row],[Tecnología]],Hallazgos[Criticidad],HallazgosCriticidad[[#Headers],[Crítico]])</f>
        <v>0</v>
      </c>
      <c r="C23">
        <f>COUNTIFS(Hallazgos[Tecnología],HallazgosCriticidad[[#This Row],[Tecnología]],Hallazgos[Criticidad],HallazgosCriticidad[[#Headers],[Mayor]])</f>
        <v>0</v>
      </c>
      <c r="D23">
        <f>COUNTIFS(Hallazgos[Tecnología],HallazgosCriticidad[[#This Row],[Tecnología]],Hallazgos[Criticidad],HallazgosCriticidad[[#Headers],[Menor]])</f>
        <v>0</v>
      </c>
      <c r="E23">
        <f>COUNTIFS(Hallazgos[Tecnología],HallazgosCriticidad[[#This Row],[Tecnología]],Hallazgos[Criticidad],HallazgosCriticidad[[#Headers],[Sugerencia]])</f>
        <v>0</v>
      </c>
      <c r="F23">
        <f>SUM(HallazgosCriticidad[[#This Row],[Crítico]:[Sugerencia]])</f>
        <v>0</v>
      </c>
      <c r="G23" t="str">
        <f>CONCATENATE("Total :",HallazgosCriticidad[[#This Row],[Totales]])</f>
        <v>Total :0</v>
      </c>
    </row>
    <row r="24" spans="1:7" x14ac:dyDescent="0.3">
      <c r="A24" t="s">
        <v>43</v>
      </c>
      <c r="B24">
        <f>COUNTIFS(Hallazgos[Tecnología],HallazgosCriticidad[[#This Row],[Tecnología]],Hallazgos[Criticidad],HallazgosCriticidad[[#Headers],[Crítico]])</f>
        <v>0</v>
      </c>
      <c r="C24">
        <f>COUNTIFS(Hallazgos[Tecnología],HallazgosCriticidad[[#This Row],[Tecnología]],Hallazgos[Criticidad],HallazgosCriticidad[[#Headers],[Mayor]])</f>
        <v>0</v>
      </c>
      <c r="D24">
        <f>COUNTIFS(Hallazgos[Tecnología],HallazgosCriticidad[[#This Row],[Tecnología]],Hallazgos[Criticidad],HallazgosCriticidad[[#Headers],[Menor]])</f>
        <v>0</v>
      </c>
      <c r="E24">
        <f>COUNTIFS(Hallazgos[Tecnología],HallazgosCriticidad[[#This Row],[Tecnología]],Hallazgos[Criticidad],HallazgosCriticidad[[#Headers],[Sugerencia]])</f>
        <v>0</v>
      </c>
      <c r="F24">
        <f>SUM(HallazgosCriticidad[[#This Row],[Crítico]:[Sugerencia]])</f>
        <v>0</v>
      </c>
      <c r="G24" t="str">
        <f>CONCATENATE("Total :",HallazgosCriticidad[[#This Row],[Totales]])</f>
        <v>Total :0</v>
      </c>
    </row>
    <row r="25" spans="1:7" x14ac:dyDescent="0.3">
      <c r="A25" t="s">
        <v>151</v>
      </c>
      <c r="B25">
        <f>SUBTOTAL(109,HallazgosCriticidad[Crítico])</f>
        <v>1</v>
      </c>
      <c r="C25">
        <f>SUBTOTAL(109,HallazgosCriticidad[Mayor])</f>
        <v>1</v>
      </c>
      <c r="D25">
        <f>SUBTOTAL(109,HallazgosCriticidad[Menor])</f>
        <v>2</v>
      </c>
      <c r="E25">
        <f>SUBTOTAL(109,HallazgosCriticidad[Sugerencia])</f>
        <v>0</v>
      </c>
      <c r="F25">
        <f>SUBTOTAL(109,HallazgosCriticidad[Totales])</f>
        <v>4</v>
      </c>
    </row>
    <row r="28" spans="1:7" ht="20.399999999999999" thickBot="1" x14ac:dyDescent="0.45">
      <c r="A28" s="19" t="s">
        <v>155</v>
      </c>
      <c r="B28" s="19"/>
      <c r="C28" s="19"/>
      <c r="D28" s="19"/>
      <c r="E28" s="19"/>
      <c r="F28" s="18"/>
      <c r="G28" s="18"/>
    </row>
    <row r="29" spans="1:7" ht="15" thickTop="1" x14ac:dyDescent="0.3">
      <c r="A29" t="s">
        <v>2</v>
      </c>
      <c r="B29" t="s">
        <v>51</v>
      </c>
      <c r="C29" t="s">
        <v>55</v>
      </c>
      <c r="D29" t="s">
        <v>59</v>
      </c>
      <c r="E29" t="s">
        <v>151</v>
      </c>
      <c r="F29" t="s">
        <v>138</v>
      </c>
    </row>
    <row r="30" spans="1:7" x14ac:dyDescent="0.3">
      <c r="A30" t="s">
        <v>41</v>
      </c>
      <c r="B30">
        <f>COUNTIFS(Hallazgos[Tecnología],HallazgosPrioridad[[#This Row],[Tecnología]],Hallazgos[Prioridad],HallazgosPrioridad[[#Headers],[Alta]])</f>
        <v>1</v>
      </c>
      <c r="C30">
        <f>COUNTIFS(Hallazgos[Tecnología],HallazgosPrioridad[[#This Row],[Tecnología]],Hallazgos[Prioridad],HallazgosPrioridad[[#Headers],[Media]])</f>
        <v>2</v>
      </c>
      <c r="D30">
        <f>COUNTIFS(Hallazgos[Tecnología],HallazgosPrioridad[[#This Row],[Tecnología]],Hallazgos[Prioridad],HallazgosPrioridad[[#Headers],[Baja]])</f>
        <v>1</v>
      </c>
      <c r="E30">
        <f>SUM(HallazgosPrioridad[[#This Row],[Alta]:[Baja]])</f>
        <v>4</v>
      </c>
      <c r="F30" t="str">
        <f>CONCATENATE("Total :",HallazgosPrioridad[[#This Row],[Totales]])</f>
        <v>Total :4</v>
      </c>
    </row>
    <row r="31" spans="1:7" x14ac:dyDescent="0.3">
      <c r="A31" t="s">
        <v>40</v>
      </c>
      <c r="B31">
        <f>COUNTIFS(Hallazgos[Tecnología],HallazgosPrioridad[[#This Row],[Tecnología]],Hallazgos[Prioridad],HallazgosPrioridad[[#Headers],[Alta]])</f>
        <v>0</v>
      </c>
      <c r="C31">
        <f>COUNTIFS(Hallazgos[Tecnología],HallazgosPrioridad[[#This Row],[Tecnología]],Hallazgos[Prioridad],HallazgosPrioridad[[#Headers],[Media]])</f>
        <v>0</v>
      </c>
      <c r="D31">
        <f>COUNTIFS(Hallazgos[Tecnología],HallazgosPrioridad[[#This Row],[Tecnología]],Hallazgos[Prioridad],HallazgosPrioridad[[#Headers],[Baja]])</f>
        <v>0</v>
      </c>
      <c r="E31">
        <f>SUM(HallazgosPrioridad[[#This Row],[Alta]:[Baja]])</f>
        <v>0</v>
      </c>
      <c r="F31" t="str">
        <f>CONCATENATE("Total :",HallazgosPrioridad[[#This Row],[Totales]])</f>
        <v>Total :0</v>
      </c>
    </row>
    <row r="32" spans="1:7" x14ac:dyDescent="0.3">
      <c r="A32" t="s">
        <v>42</v>
      </c>
      <c r="B32">
        <f>COUNTIFS(Hallazgos[Tecnología],HallazgosPrioridad[[#This Row],[Tecnología]],Hallazgos[Prioridad],HallazgosPrioridad[[#Headers],[Alta]])</f>
        <v>0</v>
      </c>
      <c r="C32">
        <f>COUNTIFS(Hallazgos[Tecnología],HallazgosPrioridad[[#This Row],[Tecnología]],Hallazgos[Prioridad],HallazgosPrioridad[[#Headers],[Media]])</f>
        <v>0</v>
      </c>
      <c r="D32">
        <f>COUNTIFS(Hallazgos[Tecnología],HallazgosPrioridad[[#This Row],[Tecnología]],Hallazgos[Prioridad],HallazgosPrioridad[[#Headers],[Baja]])</f>
        <v>0</v>
      </c>
      <c r="E32">
        <f>SUM(HallazgosPrioridad[[#This Row],[Alta]:[Baja]])</f>
        <v>0</v>
      </c>
      <c r="F32" t="str">
        <f>CONCATENATE("Total :",HallazgosPrioridad[[#This Row],[Totales]])</f>
        <v>Total :0</v>
      </c>
    </row>
    <row r="33" spans="1:6" x14ac:dyDescent="0.3">
      <c r="A33" t="s">
        <v>43</v>
      </c>
      <c r="B33">
        <f>COUNTIFS(Hallazgos[Tecnología],HallazgosPrioridad[[#This Row],[Tecnología]],Hallazgos[Prioridad],HallazgosPrioridad[[#Headers],[Alta]])</f>
        <v>0</v>
      </c>
      <c r="C33">
        <f>COUNTIFS(Hallazgos[Tecnología],HallazgosPrioridad[[#This Row],[Tecnología]],Hallazgos[Prioridad],HallazgosPrioridad[[#Headers],[Media]])</f>
        <v>0</v>
      </c>
      <c r="D33">
        <f>COUNTIFS(Hallazgos[Tecnología],HallazgosPrioridad[[#This Row],[Tecnología]],Hallazgos[Prioridad],HallazgosPrioridad[[#Headers],[Baja]])</f>
        <v>0</v>
      </c>
      <c r="E33">
        <f>SUM(HallazgosPrioridad[[#This Row],[Alta]:[Baja]])</f>
        <v>0</v>
      </c>
      <c r="F33" t="str">
        <f>CONCATENATE("Total :",HallazgosPrioridad[[#This Row],[Totales]])</f>
        <v>Total :0</v>
      </c>
    </row>
    <row r="34" spans="1:6" x14ac:dyDescent="0.3">
      <c r="A34" t="s">
        <v>151</v>
      </c>
      <c r="B34">
        <f>SUBTOTAL(109,HallazgosPrioridad[Alta])</f>
        <v>1</v>
      </c>
    </row>
  </sheetData>
  <mergeCells count="4">
    <mergeCell ref="A1:G1"/>
    <mergeCell ref="A10:G10"/>
    <mergeCell ref="A19:G19"/>
    <mergeCell ref="A28:G28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ED53-207C-4100-9408-D7CB280ACA11}">
  <dimension ref="A1:O5"/>
  <sheetViews>
    <sheetView workbookViewId="0">
      <selection activeCell="J17" sqref="J17"/>
    </sheetView>
  </sheetViews>
  <sheetFormatPr baseColWidth="10" defaultRowHeight="14.4" x14ac:dyDescent="0.3"/>
  <cols>
    <col min="1" max="1" width="4.88671875" bestFit="1" customWidth="1"/>
    <col min="2" max="2" width="17.5546875" style="1" customWidth="1"/>
    <col min="3" max="3" width="12.6640625" bestFit="1" customWidth="1"/>
    <col min="4" max="4" width="15.44140625" customWidth="1"/>
    <col min="5" max="5" width="11.109375" customWidth="1"/>
    <col min="6" max="6" width="52.109375" customWidth="1"/>
    <col min="7" max="7" width="29.6640625" bestFit="1" customWidth="1"/>
    <col min="8" max="8" width="11.33203125" bestFit="1" customWidth="1"/>
    <col min="9" max="9" width="11.21875" customWidth="1"/>
    <col min="10" max="10" width="11" customWidth="1"/>
    <col min="11" max="11" width="18.77734375" customWidth="1"/>
    <col min="12" max="12" width="19.44140625" style="1" customWidth="1"/>
    <col min="13" max="13" width="18.44140625" style="1" customWidth="1"/>
    <col min="14" max="14" width="22.6640625" style="1" customWidth="1"/>
    <col min="15" max="15" width="15.6640625" customWidth="1"/>
  </cols>
  <sheetData>
    <row r="1" spans="1:1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ht="57.6" customHeight="1" x14ac:dyDescent="0.3">
      <c r="A2">
        <f>ROW()-1</f>
        <v>1</v>
      </c>
      <c r="B2" s="1">
        <v>46357</v>
      </c>
      <c r="C2" t="s">
        <v>41</v>
      </c>
      <c r="D2" t="s">
        <v>79</v>
      </c>
      <c r="E2" t="s">
        <v>114</v>
      </c>
      <c r="G2" t="s">
        <v>128</v>
      </c>
      <c r="H2" t="s">
        <v>49</v>
      </c>
      <c r="I2" t="s">
        <v>54</v>
      </c>
      <c r="J2" t="s">
        <v>55</v>
      </c>
    </row>
    <row r="3" spans="1:15" x14ac:dyDescent="0.3">
      <c r="A3">
        <f>ROW()-1</f>
        <v>2</v>
      </c>
      <c r="B3" s="1">
        <v>46023</v>
      </c>
      <c r="C3" t="s">
        <v>41</v>
      </c>
      <c r="D3" t="s">
        <v>79</v>
      </c>
      <c r="E3" t="s">
        <v>115</v>
      </c>
      <c r="H3" t="s">
        <v>53</v>
      </c>
      <c r="I3" t="s">
        <v>58</v>
      </c>
      <c r="J3" t="s">
        <v>59</v>
      </c>
    </row>
    <row r="4" spans="1:15" x14ac:dyDescent="0.3">
      <c r="A4">
        <f>ROW()-1</f>
        <v>3</v>
      </c>
      <c r="B4" s="1">
        <v>46023</v>
      </c>
      <c r="C4" t="s">
        <v>41</v>
      </c>
      <c r="H4" t="s">
        <v>57</v>
      </c>
      <c r="I4" t="s">
        <v>62</v>
      </c>
      <c r="J4" t="s">
        <v>55</v>
      </c>
    </row>
    <row r="5" spans="1:15" x14ac:dyDescent="0.3">
      <c r="A5">
        <f>ROW()-1</f>
        <v>4</v>
      </c>
      <c r="B5" s="1">
        <v>46023</v>
      </c>
      <c r="C5" t="s">
        <v>41</v>
      </c>
      <c r="H5" t="s">
        <v>61</v>
      </c>
      <c r="I5" t="s">
        <v>62</v>
      </c>
      <c r="J5" t="s">
        <v>51</v>
      </c>
    </row>
  </sheetData>
  <conditionalFormatting sqref="A2:O5">
    <cfRule type="expression" dxfId="2" priority="10" stopIfTrue="1">
      <formula>$H2="Completado"</formula>
    </cfRule>
    <cfRule type="expression" dxfId="1" priority="11" stopIfTrue="1">
      <formula>$H2="En progreso"</formula>
    </cfRule>
    <cfRule type="expression" dxfId="0" priority="12" stopIfTrue="1">
      <formula>$J2="Alta"</formula>
    </cfRule>
  </conditionalFormatting>
  <dataValidations count="9">
    <dataValidation type="list" allowBlank="1" showInputMessage="1" showErrorMessage="1" sqref="C2:C5" xr:uid="{91077FF6-1583-4666-B347-75FF3BB8933E}">
      <formula1>INDIRECT("Tecnologias")</formula1>
    </dataValidation>
    <dataValidation type="list" allowBlank="1" showInputMessage="1" showErrorMessage="1" sqref="D2:D5" xr:uid="{756913B2-30F7-4328-BE51-855B1E621156}">
      <formula1>INDIRECT("Subetapas")</formula1>
    </dataValidation>
    <dataValidation type="list" allowBlank="1" showInputMessage="1" showErrorMessage="1" sqref="E2:E5" xr:uid="{DE300A9F-C51B-4AE4-B61A-0905D79C4140}">
      <formula1>INDIRECT("CategoriaHallazgos")</formula1>
    </dataValidation>
    <dataValidation type="list" allowBlank="1" showInputMessage="1" showErrorMessage="1" sqref="G2:G5" xr:uid="{7EDE9DBB-BD5D-4A00-84A4-FFC6C3DB6023}">
      <formula1>INDIRECT("Responsables[Nombre]")</formula1>
    </dataValidation>
    <dataValidation type="list" allowBlank="1" showInputMessage="1" showErrorMessage="1" sqref="H2:H5" xr:uid="{E047209B-4C4D-4F29-9040-2D4DCD6B389F}">
      <formula1>INDIRECT("EstatusHallazgos")</formula1>
    </dataValidation>
    <dataValidation type="list" allowBlank="1" showInputMessage="1" showErrorMessage="1" sqref="I2:I5" xr:uid="{C027F584-E092-43DC-8718-C2987C437B85}">
      <formula1>INDIRECT("Criticidad")</formula1>
    </dataValidation>
    <dataValidation type="list" allowBlank="1" showInputMessage="1" showErrorMessage="1" sqref="J2:J5" xr:uid="{B1F77308-787B-4093-8DCF-3C814A42E037}">
      <formula1>INDIRECT("Prioridades")</formula1>
    </dataValidation>
    <dataValidation type="list" allowBlank="1" showInputMessage="1" showErrorMessage="1" sqref="K2:K5" xr:uid="{E80D73F0-6F94-4E25-9B8E-1DC8DCF1E94D}">
      <formula1>INDIRECT("FasesDesarrollo")</formula1>
    </dataValidation>
    <dataValidation type="date" allowBlank="1" showInputMessage="1" showErrorMessage="1" sqref="B2:B5 M2:N5" xr:uid="{9C846B4D-8152-4581-A4C6-131CF8E91162}">
      <formula1>46023</formula1>
      <formula2>47848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1952-BAED-45D6-B8E2-046F6FAED3D0}">
  <dimension ref="A1:I4"/>
  <sheetViews>
    <sheetView topLeftCell="E1" workbookViewId="0">
      <selection activeCell="F4" sqref="F4"/>
    </sheetView>
  </sheetViews>
  <sheetFormatPr baseColWidth="10" defaultRowHeight="14.4" x14ac:dyDescent="0.3"/>
  <cols>
    <col min="1" max="1" width="5.44140625" customWidth="1"/>
    <col min="2" max="2" width="17.5546875" customWidth="1"/>
    <col min="3" max="3" width="12.33203125" customWidth="1"/>
    <col min="4" max="4" width="64.77734375" customWidth="1"/>
    <col min="5" max="5" width="29.6640625" bestFit="1" customWidth="1"/>
    <col min="6" max="6" width="16.88671875" bestFit="1" customWidth="1"/>
    <col min="7" max="7" width="19.44140625" customWidth="1"/>
    <col min="8" max="8" width="18.44140625" customWidth="1"/>
    <col min="9" max="9" width="57.6640625" customWidth="1"/>
  </cols>
  <sheetData>
    <row r="1" spans="1:9" x14ac:dyDescent="0.3">
      <c r="A1" t="s">
        <v>15</v>
      </c>
      <c r="B1" t="s">
        <v>1</v>
      </c>
      <c r="C1" t="s">
        <v>2</v>
      </c>
      <c r="D1" t="s">
        <v>16</v>
      </c>
      <c r="E1" t="s">
        <v>6</v>
      </c>
      <c r="F1" t="s">
        <v>7</v>
      </c>
      <c r="G1" t="s">
        <v>11</v>
      </c>
      <c r="H1" t="s">
        <v>12</v>
      </c>
      <c r="I1" t="s">
        <v>14</v>
      </c>
    </row>
    <row r="2" spans="1:9" ht="57.6" customHeight="1" x14ac:dyDescent="0.3">
      <c r="A2">
        <f>ROW()-1</f>
        <v>1</v>
      </c>
      <c r="C2" t="s">
        <v>41</v>
      </c>
      <c r="E2" t="s">
        <v>128</v>
      </c>
      <c r="F2" t="s">
        <v>49</v>
      </c>
    </row>
    <row r="3" spans="1:9" x14ac:dyDescent="0.3">
      <c r="A3">
        <f>ROW()-1</f>
        <v>2</v>
      </c>
      <c r="C3" t="s">
        <v>41</v>
      </c>
      <c r="F3" t="s">
        <v>53</v>
      </c>
    </row>
    <row r="4" spans="1:9" x14ac:dyDescent="0.3">
      <c r="A4">
        <f>ROW()-1</f>
        <v>3</v>
      </c>
      <c r="C4" t="s">
        <v>41</v>
      </c>
      <c r="F4" t="s">
        <v>53</v>
      </c>
    </row>
  </sheetData>
  <dataValidations count="4">
    <dataValidation type="date" allowBlank="1" showInputMessage="1" showErrorMessage="1" sqref="B2:B4 G2:H4" xr:uid="{1FDD2F05-F5BF-4D86-9674-F72E5468E666}">
      <formula1>46023</formula1>
      <formula2>47818</formula2>
    </dataValidation>
    <dataValidation type="list" allowBlank="1" showInputMessage="1" showErrorMessage="1" sqref="C2:C4" xr:uid="{1B43FC66-042E-42A4-8482-EBB2AB15E82F}">
      <formula1>INDIRECT("Tecnologias")</formula1>
    </dataValidation>
    <dataValidation type="list" allowBlank="1" showInputMessage="1" showErrorMessage="1" sqref="E2:E4" xr:uid="{B868E623-6942-4DA9-8BC0-198625624478}">
      <formula1>INDIRECT("Responsables[Nombre]")</formula1>
    </dataValidation>
    <dataValidation type="list" allowBlank="1" showInputMessage="1" showErrorMessage="1" sqref="F2:F4" xr:uid="{26C9AA86-4B58-4442-9F3C-CC1865408FA2}">
      <formula1>INDIRECT("EstatusAcuerdos")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51A9-3596-4F2E-913D-070D3CCF4DA0}">
  <dimension ref="A1:L103"/>
  <sheetViews>
    <sheetView workbookViewId="0">
      <selection activeCell="H23" sqref="H23"/>
    </sheetView>
  </sheetViews>
  <sheetFormatPr baseColWidth="10" defaultRowHeight="14.4" x14ac:dyDescent="0.3"/>
  <cols>
    <col min="1" max="1" width="5.6640625" bestFit="1" customWidth="1"/>
    <col min="2" max="2" width="12.6640625" bestFit="1" customWidth="1"/>
    <col min="3" max="3" width="8.44140625" bestFit="1" customWidth="1"/>
    <col min="4" max="4" width="16.21875" style="3" bestFit="1" customWidth="1"/>
    <col min="5" max="5" width="13.77734375" style="3" bestFit="1" customWidth="1"/>
    <col min="6" max="6" width="44.44140625" customWidth="1"/>
    <col min="7" max="7" width="13.88671875" bestFit="1" customWidth="1"/>
    <col min="8" max="8" width="22.21875" customWidth="1"/>
    <col min="9" max="9" width="21.88671875" customWidth="1"/>
    <col min="10" max="10" width="19.109375" customWidth="1"/>
    <col min="11" max="11" width="23" style="5" bestFit="1" customWidth="1"/>
    <col min="12" max="12" width="15.6640625" customWidth="1"/>
  </cols>
  <sheetData>
    <row r="1" spans="1:12" x14ac:dyDescent="0.3">
      <c r="A1" t="s">
        <v>15</v>
      </c>
      <c r="B1" t="s">
        <v>2</v>
      </c>
      <c r="C1" t="s">
        <v>17</v>
      </c>
      <c r="D1" s="3" t="s">
        <v>18</v>
      </c>
      <c r="E1" s="3" t="s">
        <v>19</v>
      </c>
      <c r="F1" t="s">
        <v>3</v>
      </c>
      <c r="G1" t="s">
        <v>7</v>
      </c>
      <c r="H1" t="s">
        <v>145</v>
      </c>
      <c r="I1" t="s">
        <v>143</v>
      </c>
      <c r="J1" t="s">
        <v>146</v>
      </c>
      <c r="K1" s="5" t="s">
        <v>144</v>
      </c>
      <c r="L1" t="s">
        <v>14</v>
      </c>
    </row>
    <row r="2" spans="1:12" x14ac:dyDescent="0.3">
      <c r="A2">
        <f>ROW()-1</f>
        <v>1</v>
      </c>
      <c r="B2" t="s">
        <v>41</v>
      </c>
      <c r="C2" t="s">
        <v>44</v>
      </c>
      <c r="D2" s="3">
        <f>_xlfn.XLOOKUP(Documentacion[[#This Row],[Sprint]],Sprints[Sprint],Sprints[FechaInicio],"")</f>
        <v>46296</v>
      </c>
      <c r="E2" s="3">
        <f>_xlfn.XLOOKUP(Documentacion[[#This Row],[Sprint]],Sprints[Sprint],Sprints[FechaFin],"")</f>
        <v>46326</v>
      </c>
      <c r="F2" t="s">
        <v>79</v>
      </c>
      <c r="G2" t="s">
        <v>140</v>
      </c>
      <c r="I2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2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3" spans="1:12" x14ac:dyDescent="0.3">
      <c r="A3">
        <f t="shared" ref="A3:A66" si="0">ROW()-1</f>
        <v>2</v>
      </c>
      <c r="B3" t="s">
        <v>41</v>
      </c>
      <c r="C3" t="s">
        <v>44</v>
      </c>
      <c r="D3" s="3">
        <f>_xlfn.XLOOKUP(Documentacion[[#This Row],[Sprint]],Sprints[Sprint],Sprints[FechaInicio],"")</f>
        <v>46296</v>
      </c>
      <c r="E3" s="3">
        <f>_xlfn.XLOOKUP(Documentacion[[#This Row],[Sprint]],Sprints[Sprint],Sprints[FechaFin],"")</f>
        <v>46326</v>
      </c>
      <c r="F3" t="s">
        <v>80</v>
      </c>
      <c r="G3" t="s">
        <v>140</v>
      </c>
      <c r="I3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3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4" spans="1:12" x14ac:dyDescent="0.3">
      <c r="A4">
        <f t="shared" si="0"/>
        <v>3</v>
      </c>
      <c r="B4" t="s">
        <v>41</v>
      </c>
      <c r="C4" t="s">
        <v>44</v>
      </c>
      <c r="D4" s="3">
        <f>_xlfn.XLOOKUP(Documentacion[[#This Row],[Sprint]],Sprints[Sprint],Sprints[FechaInicio],"")</f>
        <v>46296</v>
      </c>
      <c r="E4" s="3">
        <f>_xlfn.XLOOKUP(Documentacion[[#This Row],[Sprint]],Sprints[Sprint],Sprints[FechaFin],"")</f>
        <v>46326</v>
      </c>
      <c r="F4" t="s">
        <v>81</v>
      </c>
      <c r="G4" t="s">
        <v>140</v>
      </c>
      <c r="I4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4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5" spans="1:12" x14ac:dyDescent="0.3">
      <c r="A5">
        <f t="shared" si="0"/>
        <v>4</v>
      </c>
      <c r="B5" t="s">
        <v>41</v>
      </c>
      <c r="C5" t="s">
        <v>44</v>
      </c>
      <c r="D5" s="3">
        <f>_xlfn.XLOOKUP(Documentacion[[#This Row],[Sprint]],Sprints[Sprint],Sprints[FechaInicio],"")</f>
        <v>46296</v>
      </c>
      <c r="E5" s="3">
        <f>_xlfn.XLOOKUP(Documentacion[[#This Row],[Sprint]],Sprints[Sprint],Sprints[FechaFin],"")</f>
        <v>46326</v>
      </c>
      <c r="F5" t="s">
        <v>82</v>
      </c>
      <c r="G5" t="s">
        <v>140</v>
      </c>
      <c r="I5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5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6" spans="1:12" x14ac:dyDescent="0.3">
      <c r="A6">
        <f t="shared" si="0"/>
        <v>5</v>
      </c>
      <c r="B6" t="s">
        <v>41</v>
      </c>
      <c r="C6" t="s">
        <v>44</v>
      </c>
      <c r="D6" s="3">
        <f>_xlfn.XLOOKUP(Documentacion[[#This Row],[Sprint]],Sprints[Sprint],Sprints[FechaInicio],"")</f>
        <v>46296</v>
      </c>
      <c r="E6" s="3">
        <f>_xlfn.XLOOKUP(Documentacion[[#This Row],[Sprint]],Sprints[Sprint],Sprints[FechaFin],"")</f>
        <v>46326</v>
      </c>
      <c r="F6" t="s">
        <v>83</v>
      </c>
      <c r="G6" t="s">
        <v>140</v>
      </c>
      <c r="I6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6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7" spans="1:12" x14ac:dyDescent="0.3">
      <c r="A7">
        <f t="shared" si="0"/>
        <v>6</v>
      </c>
      <c r="B7" t="s">
        <v>41</v>
      </c>
      <c r="C7" t="s">
        <v>44</v>
      </c>
      <c r="D7" s="3">
        <f>_xlfn.XLOOKUP(Documentacion[[#This Row],[Sprint]],Sprints[Sprint],Sprints[FechaInicio],"")</f>
        <v>46296</v>
      </c>
      <c r="E7" s="3">
        <f>_xlfn.XLOOKUP(Documentacion[[#This Row],[Sprint]],Sprints[Sprint],Sprints[FechaFin],"")</f>
        <v>46326</v>
      </c>
      <c r="F7" t="s">
        <v>84</v>
      </c>
      <c r="G7" t="s">
        <v>140</v>
      </c>
      <c r="I7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7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8" spans="1:12" x14ac:dyDescent="0.3">
      <c r="A8">
        <f t="shared" si="0"/>
        <v>7</v>
      </c>
      <c r="B8" t="s">
        <v>41</v>
      </c>
      <c r="C8" t="s">
        <v>44</v>
      </c>
      <c r="D8" s="3">
        <f>_xlfn.XLOOKUP(Documentacion[[#This Row],[Sprint]],Sprints[Sprint],Sprints[FechaInicio],"")</f>
        <v>46296</v>
      </c>
      <c r="E8" s="3">
        <f>_xlfn.XLOOKUP(Documentacion[[#This Row],[Sprint]],Sprints[Sprint],Sprints[FechaFin],"")</f>
        <v>46326</v>
      </c>
      <c r="F8" t="s">
        <v>85</v>
      </c>
      <c r="G8" t="s">
        <v>140</v>
      </c>
      <c r="I8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8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9" spans="1:12" x14ac:dyDescent="0.3">
      <c r="A9">
        <f t="shared" si="0"/>
        <v>8</v>
      </c>
      <c r="B9" t="s">
        <v>41</v>
      </c>
      <c r="C9" t="s">
        <v>44</v>
      </c>
      <c r="D9" s="3">
        <f>_xlfn.XLOOKUP(Documentacion[[#This Row],[Sprint]],Sprints[Sprint],Sprints[FechaInicio],"")</f>
        <v>46296</v>
      </c>
      <c r="E9" s="3">
        <f>_xlfn.XLOOKUP(Documentacion[[#This Row],[Sprint]],Sprints[Sprint],Sprints[FechaFin],"")</f>
        <v>46326</v>
      </c>
      <c r="F9" t="s">
        <v>86</v>
      </c>
      <c r="G9" t="s">
        <v>140</v>
      </c>
      <c r="I9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9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10" spans="1:12" x14ac:dyDescent="0.3">
      <c r="A10">
        <f t="shared" si="0"/>
        <v>9</v>
      </c>
      <c r="B10" t="s">
        <v>41</v>
      </c>
      <c r="C10" t="s">
        <v>44</v>
      </c>
      <c r="D10" s="3">
        <f>_xlfn.XLOOKUP(Documentacion[[#This Row],[Sprint]],Sprints[Sprint],Sprints[FechaInicio],"")</f>
        <v>46296</v>
      </c>
      <c r="E10" s="3">
        <f>_xlfn.XLOOKUP(Documentacion[[#This Row],[Sprint]],Sprints[Sprint],Sprints[FechaFin],"")</f>
        <v>46326</v>
      </c>
      <c r="F10" t="s">
        <v>87</v>
      </c>
      <c r="G10" t="s">
        <v>140</v>
      </c>
      <c r="I10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10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11" spans="1:12" x14ac:dyDescent="0.3">
      <c r="A11">
        <f t="shared" si="0"/>
        <v>10</v>
      </c>
      <c r="B11" t="s">
        <v>41</v>
      </c>
      <c r="C11" t="s">
        <v>44</v>
      </c>
      <c r="D11" s="3">
        <f>_xlfn.XLOOKUP(Documentacion[[#This Row],[Sprint]],Sprints[Sprint],Sprints[FechaInicio],"")</f>
        <v>46296</v>
      </c>
      <c r="E11" s="3">
        <f>_xlfn.XLOOKUP(Documentacion[[#This Row],[Sprint]],Sprints[Sprint],Sprints[FechaFin],"")</f>
        <v>46326</v>
      </c>
      <c r="F11" t="s">
        <v>88</v>
      </c>
      <c r="G11" t="s">
        <v>140</v>
      </c>
      <c r="I11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11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12" spans="1:12" x14ac:dyDescent="0.3">
      <c r="A12">
        <f t="shared" si="0"/>
        <v>11</v>
      </c>
      <c r="B12" t="s">
        <v>41</v>
      </c>
      <c r="C12" t="s">
        <v>45</v>
      </c>
      <c r="D12" s="3">
        <f>_xlfn.XLOOKUP(Documentacion[[#This Row],[Sprint]],Sprints[Sprint],Sprints[FechaInicio],"")</f>
        <v>46327</v>
      </c>
      <c r="E12" s="3">
        <f>_xlfn.XLOOKUP(Documentacion[[#This Row],[Sprint]],Sprints[Sprint],Sprints[FechaFin],"")</f>
        <v>46356</v>
      </c>
      <c r="F12" t="s">
        <v>89</v>
      </c>
      <c r="G12" t="s">
        <v>140</v>
      </c>
      <c r="I12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12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13" spans="1:12" x14ac:dyDescent="0.3">
      <c r="A13">
        <f t="shared" si="0"/>
        <v>12</v>
      </c>
      <c r="B13" t="s">
        <v>41</v>
      </c>
      <c r="C13" t="s">
        <v>45</v>
      </c>
      <c r="D13" s="3">
        <f>_xlfn.XLOOKUP(Documentacion[[#This Row],[Sprint]],Sprints[Sprint],Sprints[FechaInicio],"")</f>
        <v>46327</v>
      </c>
      <c r="E13" s="3">
        <f>_xlfn.XLOOKUP(Documentacion[[#This Row],[Sprint]],Sprints[Sprint],Sprints[FechaFin],"")</f>
        <v>46356</v>
      </c>
      <c r="F13" t="s">
        <v>90</v>
      </c>
      <c r="G13" t="s">
        <v>140</v>
      </c>
      <c r="I13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13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14" spans="1:12" x14ac:dyDescent="0.3">
      <c r="A14">
        <f t="shared" si="0"/>
        <v>13</v>
      </c>
      <c r="B14" t="s">
        <v>41</v>
      </c>
      <c r="C14" t="s">
        <v>45</v>
      </c>
      <c r="D14" s="3">
        <f>_xlfn.XLOOKUP(Documentacion[[#This Row],[Sprint]],Sprints[Sprint],Sprints[FechaInicio],"")</f>
        <v>46327</v>
      </c>
      <c r="E14" s="3">
        <f>_xlfn.XLOOKUP(Documentacion[[#This Row],[Sprint]],Sprints[Sprint],Sprints[FechaFin],"")</f>
        <v>46356</v>
      </c>
      <c r="F14" t="s">
        <v>91</v>
      </c>
      <c r="G14" t="s">
        <v>140</v>
      </c>
      <c r="I14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14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15" spans="1:12" x14ac:dyDescent="0.3">
      <c r="A15">
        <f t="shared" si="0"/>
        <v>14</v>
      </c>
      <c r="B15" t="s">
        <v>41</v>
      </c>
      <c r="C15" t="s">
        <v>45</v>
      </c>
      <c r="D15" s="3">
        <f>_xlfn.XLOOKUP(Documentacion[[#This Row],[Sprint]],Sprints[Sprint],Sprints[FechaInicio],"")</f>
        <v>46327</v>
      </c>
      <c r="E15" s="3">
        <f>_xlfn.XLOOKUP(Documentacion[[#This Row],[Sprint]],Sprints[Sprint],Sprints[FechaFin],"")</f>
        <v>46356</v>
      </c>
      <c r="F15" t="s">
        <v>92</v>
      </c>
      <c r="G15" t="s">
        <v>140</v>
      </c>
      <c r="I15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15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16" spans="1:12" x14ac:dyDescent="0.3">
      <c r="A16">
        <f t="shared" si="0"/>
        <v>15</v>
      </c>
      <c r="B16" t="s">
        <v>41</v>
      </c>
      <c r="C16" t="s">
        <v>45</v>
      </c>
      <c r="D16" s="3">
        <f>_xlfn.XLOOKUP(Documentacion[[#This Row],[Sprint]],Sprints[Sprint],Sprints[FechaInicio],"")</f>
        <v>46327</v>
      </c>
      <c r="E16" s="3">
        <f>_xlfn.XLOOKUP(Documentacion[[#This Row],[Sprint]],Sprints[Sprint],Sprints[FechaFin],"")</f>
        <v>46356</v>
      </c>
      <c r="F16" t="s">
        <v>93</v>
      </c>
      <c r="G16" t="s">
        <v>140</v>
      </c>
      <c r="I16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16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17" spans="1:11" x14ac:dyDescent="0.3">
      <c r="A17">
        <f t="shared" si="0"/>
        <v>16</v>
      </c>
      <c r="B17" t="s">
        <v>41</v>
      </c>
      <c r="C17" t="s">
        <v>45</v>
      </c>
      <c r="D17" s="3">
        <f>_xlfn.XLOOKUP(Documentacion[[#This Row],[Sprint]],Sprints[Sprint],Sprints[FechaInicio],"")</f>
        <v>46327</v>
      </c>
      <c r="E17" s="3">
        <f>_xlfn.XLOOKUP(Documentacion[[#This Row],[Sprint]],Sprints[Sprint],Sprints[FechaFin],"")</f>
        <v>46356</v>
      </c>
      <c r="F17" t="s">
        <v>94</v>
      </c>
      <c r="G17" t="s">
        <v>140</v>
      </c>
      <c r="I17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17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18" spans="1:11" x14ac:dyDescent="0.3">
      <c r="A18">
        <f t="shared" si="0"/>
        <v>17</v>
      </c>
      <c r="B18" t="s">
        <v>41</v>
      </c>
      <c r="C18" t="s">
        <v>45</v>
      </c>
      <c r="D18" s="3">
        <f>_xlfn.XLOOKUP(Documentacion[[#This Row],[Sprint]],Sprints[Sprint],Sprints[FechaInicio],"")</f>
        <v>46327</v>
      </c>
      <c r="E18" s="3">
        <f>_xlfn.XLOOKUP(Documentacion[[#This Row],[Sprint]],Sprints[Sprint],Sprints[FechaFin],"")</f>
        <v>46356</v>
      </c>
      <c r="F18" t="s">
        <v>95</v>
      </c>
      <c r="G18" t="s">
        <v>140</v>
      </c>
      <c r="I18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18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19" spans="1:11" x14ac:dyDescent="0.3">
      <c r="A19">
        <f t="shared" si="0"/>
        <v>18</v>
      </c>
      <c r="B19" t="s">
        <v>41</v>
      </c>
      <c r="C19" t="s">
        <v>45</v>
      </c>
      <c r="D19" s="3">
        <f>_xlfn.XLOOKUP(Documentacion[[#This Row],[Sprint]],Sprints[Sprint],Sprints[FechaInicio],"")</f>
        <v>46327</v>
      </c>
      <c r="E19" s="3">
        <f>_xlfn.XLOOKUP(Documentacion[[#This Row],[Sprint]],Sprints[Sprint],Sprints[FechaFin],"")</f>
        <v>46356</v>
      </c>
      <c r="F19" t="s">
        <v>96</v>
      </c>
      <c r="G19" t="s">
        <v>140</v>
      </c>
      <c r="I19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19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20" spans="1:11" x14ac:dyDescent="0.3">
      <c r="A20">
        <f t="shared" si="0"/>
        <v>19</v>
      </c>
      <c r="B20" t="s">
        <v>41</v>
      </c>
      <c r="C20" t="s">
        <v>45</v>
      </c>
      <c r="D20" s="3">
        <f>_xlfn.XLOOKUP(Documentacion[[#This Row],[Sprint]],Sprints[Sprint],Sprints[FechaInicio],"")</f>
        <v>46327</v>
      </c>
      <c r="E20" s="3">
        <f>_xlfn.XLOOKUP(Documentacion[[#This Row],[Sprint]],Sprints[Sprint],Sprints[FechaFin],"")</f>
        <v>46356</v>
      </c>
      <c r="F20" t="s">
        <v>97</v>
      </c>
      <c r="G20" t="s">
        <v>140</v>
      </c>
      <c r="I20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20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21" spans="1:11" x14ac:dyDescent="0.3">
      <c r="A21">
        <f t="shared" si="0"/>
        <v>20</v>
      </c>
      <c r="B21" t="s">
        <v>41</v>
      </c>
      <c r="C21" t="s">
        <v>45</v>
      </c>
      <c r="D21" s="3">
        <f>_xlfn.XLOOKUP(Documentacion[[#This Row],[Sprint]],Sprints[Sprint],Sprints[FechaInicio],"")</f>
        <v>46327</v>
      </c>
      <c r="E21" s="3">
        <f>_xlfn.XLOOKUP(Documentacion[[#This Row],[Sprint]],Sprints[Sprint],Sprints[FechaFin],"")</f>
        <v>46356</v>
      </c>
      <c r="F21" t="s">
        <v>98</v>
      </c>
      <c r="G21" t="s">
        <v>140</v>
      </c>
      <c r="I21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21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22" spans="1:11" x14ac:dyDescent="0.3">
      <c r="A22">
        <f t="shared" si="0"/>
        <v>21</v>
      </c>
      <c r="B22" t="s">
        <v>41</v>
      </c>
      <c r="C22" t="s">
        <v>45</v>
      </c>
      <c r="D22" s="3">
        <f>_xlfn.XLOOKUP(Documentacion[[#This Row],[Sprint]],Sprints[Sprint],Sprints[FechaInicio],"")</f>
        <v>46327</v>
      </c>
      <c r="E22" s="3">
        <f>_xlfn.XLOOKUP(Documentacion[[#This Row],[Sprint]],Sprints[Sprint],Sprints[FechaFin],"")</f>
        <v>46356</v>
      </c>
      <c r="F22" t="s">
        <v>99</v>
      </c>
      <c r="G22" t="s">
        <v>140</v>
      </c>
      <c r="I22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22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23" spans="1:11" x14ac:dyDescent="0.3">
      <c r="A23">
        <f t="shared" si="0"/>
        <v>22</v>
      </c>
      <c r="B23" t="s">
        <v>41</v>
      </c>
      <c r="C23" t="s">
        <v>46</v>
      </c>
      <c r="D23" s="3">
        <f>_xlfn.XLOOKUP(Documentacion[[#This Row],[Sprint]],Sprints[Sprint],Sprints[FechaInicio],"")</f>
        <v>46357</v>
      </c>
      <c r="E23" s="3">
        <f>_xlfn.XLOOKUP(Documentacion[[#This Row],[Sprint]],Sprints[Sprint],Sprints[FechaFin],"")</f>
        <v>46387</v>
      </c>
      <c r="F23" t="s">
        <v>100</v>
      </c>
      <c r="G23" t="s">
        <v>140</v>
      </c>
      <c r="I23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23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24" spans="1:11" x14ac:dyDescent="0.3">
      <c r="A24">
        <f t="shared" si="0"/>
        <v>23</v>
      </c>
      <c r="B24" t="s">
        <v>41</v>
      </c>
      <c r="C24" t="s">
        <v>46</v>
      </c>
      <c r="D24" s="3">
        <f>_xlfn.XLOOKUP(Documentacion[[#This Row],[Sprint]],Sprints[Sprint],Sprints[FechaInicio],"")</f>
        <v>46357</v>
      </c>
      <c r="E24" s="3">
        <f>_xlfn.XLOOKUP(Documentacion[[#This Row],[Sprint]],Sprints[Sprint],Sprints[FechaFin],"")</f>
        <v>46387</v>
      </c>
      <c r="F24" t="s">
        <v>101</v>
      </c>
      <c r="G24" t="s">
        <v>140</v>
      </c>
      <c r="I24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24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25" spans="1:11" x14ac:dyDescent="0.3">
      <c r="A25">
        <f t="shared" si="0"/>
        <v>24</v>
      </c>
      <c r="B25" t="s">
        <v>41</v>
      </c>
      <c r="C25" t="s">
        <v>46</v>
      </c>
      <c r="D25" s="3">
        <f>_xlfn.XLOOKUP(Documentacion[[#This Row],[Sprint]],Sprints[Sprint],Sprints[FechaInicio],"")</f>
        <v>46357</v>
      </c>
      <c r="E25" s="3">
        <f>_xlfn.XLOOKUP(Documentacion[[#This Row],[Sprint]],Sprints[Sprint],Sprints[FechaFin],"")</f>
        <v>46387</v>
      </c>
      <c r="F25" t="s">
        <v>102</v>
      </c>
      <c r="G25" t="s">
        <v>140</v>
      </c>
      <c r="I25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25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26" spans="1:11" x14ac:dyDescent="0.3">
      <c r="A26">
        <f t="shared" si="0"/>
        <v>25</v>
      </c>
      <c r="B26" t="s">
        <v>41</v>
      </c>
      <c r="C26" t="s">
        <v>46</v>
      </c>
      <c r="D26" s="3">
        <f>_xlfn.XLOOKUP(Documentacion[[#This Row],[Sprint]],Sprints[Sprint],Sprints[FechaInicio],"")</f>
        <v>46357</v>
      </c>
      <c r="E26" s="3">
        <f>_xlfn.XLOOKUP(Documentacion[[#This Row],[Sprint]],Sprints[Sprint],Sprints[FechaFin],"")</f>
        <v>46387</v>
      </c>
      <c r="F26" t="s">
        <v>103</v>
      </c>
      <c r="G26" t="s">
        <v>140</v>
      </c>
      <c r="I26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26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27" spans="1:11" x14ac:dyDescent="0.3">
      <c r="A27">
        <f t="shared" si="0"/>
        <v>26</v>
      </c>
      <c r="B27" t="s">
        <v>41</v>
      </c>
      <c r="C27" t="s">
        <v>46</v>
      </c>
      <c r="D27" s="3">
        <f>_xlfn.XLOOKUP(Documentacion[[#This Row],[Sprint]],Sprints[Sprint],Sprints[FechaInicio],"")</f>
        <v>46357</v>
      </c>
      <c r="E27" s="3">
        <f>_xlfn.XLOOKUP(Documentacion[[#This Row],[Sprint]],Sprints[Sprint],Sprints[FechaFin],"")</f>
        <v>46387</v>
      </c>
      <c r="F27" t="s">
        <v>104</v>
      </c>
      <c r="G27" t="s">
        <v>140</v>
      </c>
      <c r="I27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27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28" spans="1:11" x14ac:dyDescent="0.3">
      <c r="A28">
        <f t="shared" si="0"/>
        <v>27</v>
      </c>
      <c r="B28" t="s">
        <v>41</v>
      </c>
      <c r="C28" t="s">
        <v>46</v>
      </c>
      <c r="D28" s="3">
        <f>_xlfn.XLOOKUP(Documentacion[[#This Row],[Sprint]],Sprints[Sprint],Sprints[FechaInicio],"")</f>
        <v>46357</v>
      </c>
      <c r="E28" s="3">
        <f>_xlfn.XLOOKUP(Documentacion[[#This Row],[Sprint]],Sprints[Sprint],Sprints[FechaFin],"")</f>
        <v>46387</v>
      </c>
      <c r="F28" t="s">
        <v>105</v>
      </c>
      <c r="G28" t="s">
        <v>140</v>
      </c>
      <c r="I28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28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29" spans="1:11" x14ac:dyDescent="0.3">
      <c r="A29">
        <f t="shared" si="0"/>
        <v>28</v>
      </c>
      <c r="B29" t="s">
        <v>41</v>
      </c>
      <c r="C29" t="s">
        <v>46</v>
      </c>
      <c r="D29" s="3">
        <f>_xlfn.XLOOKUP(Documentacion[[#This Row],[Sprint]],Sprints[Sprint],Sprints[FechaInicio],"")</f>
        <v>46357</v>
      </c>
      <c r="E29" s="3">
        <f>_xlfn.XLOOKUP(Documentacion[[#This Row],[Sprint]],Sprints[Sprint],Sprints[FechaFin],"")</f>
        <v>46387</v>
      </c>
      <c r="F29" t="s">
        <v>106</v>
      </c>
      <c r="G29" t="s">
        <v>140</v>
      </c>
      <c r="I29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29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30" spans="1:11" x14ac:dyDescent="0.3">
      <c r="A30">
        <f t="shared" si="0"/>
        <v>29</v>
      </c>
      <c r="B30" t="s">
        <v>41</v>
      </c>
      <c r="C30" t="s">
        <v>46</v>
      </c>
      <c r="D30" s="3">
        <f>_xlfn.XLOOKUP(Documentacion[[#This Row],[Sprint]],Sprints[Sprint],Sprints[FechaInicio],"")</f>
        <v>46357</v>
      </c>
      <c r="E30" s="3">
        <f>_xlfn.XLOOKUP(Documentacion[[#This Row],[Sprint]],Sprints[Sprint],Sprints[FechaFin],"")</f>
        <v>46387</v>
      </c>
      <c r="F30" t="s">
        <v>107</v>
      </c>
      <c r="G30" t="s">
        <v>140</v>
      </c>
      <c r="I30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30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31" spans="1:11" x14ac:dyDescent="0.3">
      <c r="A31">
        <f t="shared" si="0"/>
        <v>30</v>
      </c>
      <c r="B31" t="s">
        <v>41</v>
      </c>
      <c r="C31" t="s">
        <v>46</v>
      </c>
      <c r="D31" s="3">
        <f>_xlfn.XLOOKUP(Documentacion[[#This Row],[Sprint]],Sprints[Sprint],Sprints[FechaInicio],"")</f>
        <v>46357</v>
      </c>
      <c r="E31" s="3">
        <f>_xlfn.XLOOKUP(Documentacion[[#This Row],[Sprint]],Sprints[Sprint],Sprints[FechaFin],"")</f>
        <v>46387</v>
      </c>
      <c r="F31" t="s">
        <v>108</v>
      </c>
      <c r="G31" t="s">
        <v>140</v>
      </c>
      <c r="I31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31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32" spans="1:11" x14ac:dyDescent="0.3">
      <c r="A32">
        <f t="shared" si="0"/>
        <v>31</v>
      </c>
      <c r="B32" t="s">
        <v>41</v>
      </c>
      <c r="C32" t="s">
        <v>46</v>
      </c>
      <c r="D32" s="3">
        <f>_xlfn.XLOOKUP(Documentacion[[#This Row],[Sprint]],Sprints[Sprint],Sprints[FechaInicio],"")</f>
        <v>46357</v>
      </c>
      <c r="E32" s="3">
        <f>_xlfn.XLOOKUP(Documentacion[[#This Row],[Sprint]],Sprints[Sprint],Sprints[FechaFin],"")</f>
        <v>46387</v>
      </c>
      <c r="F32" t="s">
        <v>109</v>
      </c>
      <c r="G32" t="s">
        <v>140</v>
      </c>
      <c r="I32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32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33" spans="1:11" x14ac:dyDescent="0.3">
      <c r="A33">
        <f t="shared" si="0"/>
        <v>32</v>
      </c>
      <c r="B33" t="s">
        <v>41</v>
      </c>
      <c r="C33" t="s">
        <v>46</v>
      </c>
      <c r="D33" s="3">
        <f>_xlfn.XLOOKUP(Documentacion[[#This Row],[Sprint]],Sprints[Sprint],Sprints[FechaInicio],"")</f>
        <v>46357</v>
      </c>
      <c r="E33" s="3">
        <f>_xlfn.XLOOKUP(Documentacion[[#This Row],[Sprint]],Sprints[Sprint],Sprints[FechaFin],"")</f>
        <v>46387</v>
      </c>
      <c r="F33" t="s">
        <v>110</v>
      </c>
      <c r="G33" t="s">
        <v>140</v>
      </c>
      <c r="I33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33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34" spans="1:11" x14ac:dyDescent="0.3">
      <c r="A34">
        <f t="shared" si="0"/>
        <v>33</v>
      </c>
      <c r="B34" t="s">
        <v>41</v>
      </c>
      <c r="C34" t="s">
        <v>46</v>
      </c>
      <c r="D34" s="3">
        <f>_xlfn.XLOOKUP(Documentacion[[#This Row],[Sprint]],Sprints[Sprint],Sprints[FechaInicio],"")</f>
        <v>46357</v>
      </c>
      <c r="E34" s="3">
        <f>_xlfn.XLOOKUP(Documentacion[[#This Row],[Sprint]],Sprints[Sprint],Sprints[FechaFin],"")</f>
        <v>46387</v>
      </c>
      <c r="F34" t="s">
        <v>111</v>
      </c>
      <c r="G34" t="s">
        <v>140</v>
      </c>
      <c r="I34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34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35" spans="1:11" x14ac:dyDescent="0.3">
      <c r="A35">
        <f t="shared" si="0"/>
        <v>34</v>
      </c>
      <c r="B35" t="s">
        <v>41</v>
      </c>
      <c r="C35" t="s">
        <v>46</v>
      </c>
      <c r="D35" s="3">
        <f>_xlfn.XLOOKUP(Documentacion[[#This Row],[Sprint]],Sprints[Sprint],Sprints[FechaInicio],"")</f>
        <v>46357</v>
      </c>
      <c r="E35" s="3">
        <f>_xlfn.XLOOKUP(Documentacion[[#This Row],[Sprint]],Sprints[Sprint],Sprints[FechaFin],"")</f>
        <v>46387</v>
      </c>
      <c r="F35" t="s">
        <v>112</v>
      </c>
      <c r="G35" t="s">
        <v>140</v>
      </c>
      <c r="I35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35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36" spans="1:11" x14ac:dyDescent="0.3">
      <c r="A36">
        <f>ROW()-1</f>
        <v>35</v>
      </c>
      <c r="B36" t="s">
        <v>40</v>
      </c>
      <c r="C36" t="s">
        <v>44</v>
      </c>
      <c r="D36" s="3">
        <f>_xlfn.XLOOKUP(Documentacion[[#This Row],[Sprint]],Sprints[Sprint],Sprints[FechaInicio],"")</f>
        <v>46296</v>
      </c>
      <c r="E36" s="3">
        <f>_xlfn.XLOOKUP(Documentacion[[#This Row],[Sprint]],Sprints[Sprint],Sprints[FechaFin],"")</f>
        <v>46326</v>
      </c>
      <c r="F36" t="s">
        <v>79</v>
      </c>
      <c r="G36" t="s">
        <v>140</v>
      </c>
      <c r="I36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36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37" spans="1:11" x14ac:dyDescent="0.3">
      <c r="A37">
        <f t="shared" si="0"/>
        <v>36</v>
      </c>
      <c r="B37" t="s">
        <v>40</v>
      </c>
      <c r="C37" t="s">
        <v>44</v>
      </c>
      <c r="D37" s="3">
        <f>_xlfn.XLOOKUP(Documentacion[[#This Row],[Sprint]],Sprints[Sprint],Sprints[FechaInicio],"")</f>
        <v>46296</v>
      </c>
      <c r="E37" s="3">
        <f>_xlfn.XLOOKUP(Documentacion[[#This Row],[Sprint]],Sprints[Sprint],Sprints[FechaFin],"")</f>
        <v>46326</v>
      </c>
      <c r="F37" t="s">
        <v>80</v>
      </c>
      <c r="G37" t="s">
        <v>140</v>
      </c>
      <c r="I37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37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38" spans="1:11" x14ac:dyDescent="0.3">
      <c r="A38">
        <f t="shared" si="0"/>
        <v>37</v>
      </c>
      <c r="B38" t="s">
        <v>40</v>
      </c>
      <c r="C38" t="s">
        <v>44</v>
      </c>
      <c r="D38" s="3">
        <f>_xlfn.XLOOKUP(Documentacion[[#This Row],[Sprint]],Sprints[Sprint],Sprints[FechaInicio],"")</f>
        <v>46296</v>
      </c>
      <c r="E38" s="3">
        <f>_xlfn.XLOOKUP(Documentacion[[#This Row],[Sprint]],Sprints[Sprint],Sprints[FechaFin],"")</f>
        <v>46326</v>
      </c>
      <c r="F38" t="s">
        <v>81</v>
      </c>
      <c r="G38" t="s">
        <v>140</v>
      </c>
      <c r="I38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38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39" spans="1:11" x14ac:dyDescent="0.3">
      <c r="A39">
        <f t="shared" si="0"/>
        <v>38</v>
      </c>
      <c r="B39" t="s">
        <v>40</v>
      </c>
      <c r="C39" t="s">
        <v>44</v>
      </c>
      <c r="D39" s="3">
        <f>_xlfn.XLOOKUP(Documentacion[[#This Row],[Sprint]],Sprints[Sprint],Sprints[FechaInicio],"")</f>
        <v>46296</v>
      </c>
      <c r="E39" s="3">
        <f>_xlfn.XLOOKUP(Documentacion[[#This Row],[Sprint]],Sprints[Sprint],Sprints[FechaFin],"")</f>
        <v>46326</v>
      </c>
      <c r="F39" t="s">
        <v>82</v>
      </c>
      <c r="G39" t="s">
        <v>140</v>
      </c>
      <c r="I39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39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40" spans="1:11" x14ac:dyDescent="0.3">
      <c r="A40">
        <f t="shared" si="0"/>
        <v>39</v>
      </c>
      <c r="B40" t="s">
        <v>40</v>
      </c>
      <c r="C40" t="s">
        <v>44</v>
      </c>
      <c r="D40" s="3">
        <f>_xlfn.XLOOKUP(Documentacion[[#This Row],[Sprint]],Sprints[Sprint],Sprints[FechaInicio],"")</f>
        <v>46296</v>
      </c>
      <c r="E40" s="3">
        <f>_xlfn.XLOOKUP(Documentacion[[#This Row],[Sprint]],Sprints[Sprint],Sprints[FechaFin],"")</f>
        <v>46326</v>
      </c>
      <c r="F40" t="s">
        <v>83</v>
      </c>
      <c r="G40" t="s">
        <v>140</v>
      </c>
      <c r="I40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40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41" spans="1:11" x14ac:dyDescent="0.3">
      <c r="A41">
        <f t="shared" si="0"/>
        <v>40</v>
      </c>
      <c r="B41" t="s">
        <v>40</v>
      </c>
      <c r="C41" t="s">
        <v>44</v>
      </c>
      <c r="D41" s="3">
        <f>_xlfn.XLOOKUP(Documentacion[[#This Row],[Sprint]],Sprints[Sprint],Sprints[FechaInicio],"")</f>
        <v>46296</v>
      </c>
      <c r="E41" s="3">
        <f>_xlfn.XLOOKUP(Documentacion[[#This Row],[Sprint]],Sprints[Sprint],Sprints[FechaFin],"")</f>
        <v>46326</v>
      </c>
      <c r="F41" t="s">
        <v>84</v>
      </c>
      <c r="G41" t="s">
        <v>140</v>
      </c>
      <c r="I41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41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42" spans="1:11" x14ac:dyDescent="0.3">
      <c r="A42">
        <f t="shared" si="0"/>
        <v>41</v>
      </c>
      <c r="B42" t="s">
        <v>40</v>
      </c>
      <c r="C42" t="s">
        <v>44</v>
      </c>
      <c r="D42" s="3">
        <f>_xlfn.XLOOKUP(Documentacion[[#This Row],[Sprint]],Sprints[Sprint],Sprints[FechaInicio],"")</f>
        <v>46296</v>
      </c>
      <c r="E42" s="3">
        <f>_xlfn.XLOOKUP(Documentacion[[#This Row],[Sprint]],Sprints[Sprint],Sprints[FechaFin],"")</f>
        <v>46326</v>
      </c>
      <c r="F42" t="s">
        <v>85</v>
      </c>
      <c r="G42" t="s">
        <v>140</v>
      </c>
      <c r="I42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42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43" spans="1:11" x14ac:dyDescent="0.3">
      <c r="A43">
        <f t="shared" si="0"/>
        <v>42</v>
      </c>
      <c r="B43" t="s">
        <v>40</v>
      </c>
      <c r="C43" t="s">
        <v>44</v>
      </c>
      <c r="D43" s="3">
        <f>_xlfn.XLOOKUP(Documentacion[[#This Row],[Sprint]],Sprints[Sprint],Sprints[FechaInicio],"")</f>
        <v>46296</v>
      </c>
      <c r="E43" s="3">
        <f>_xlfn.XLOOKUP(Documentacion[[#This Row],[Sprint]],Sprints[Sprint],Sprints[FechaFin],"")</f>
        <v>46326</v>
      </c>
      <c r="F43" t="s">
        <v>86</v>
      </c>
      <c r="G43" t="s">
        <v>140</v>
      </c>
      <c r="I43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43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44" spans="1:11" x14ac:dyDescent="0.3">
      <c r="A44">
        <f t="shared" si="0"/>
        <v>43</v>
      </c>
      <c r="B44" t="s">
        <v>40</v>
      </c>
      <c r="C44" t="s">
        <v>44</v>
      </c>
      <c r="D44" s="3">
        <f>_xlfn.XLOOKUP(Documentacion[[#This Row],[Sprint]],Sprints[Sprint],Sprints[FechaInicio],"")</f>
        <v>46296</v>
      </c>
      <c r="E44" s="3">
        <f>_xlfn.XLOOKUP(Documentacion[[#This Row],[Sprint]],Sprints[Sprint],Sprints[FechaFin],"")</f>
        <v>46326</v>
      </c>
      <c r="F44" t="s">
        <v>87</v>
      </c>
      <c r="G44" t="s">
        <v>140</v>
      </c>
      <c r="I44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44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45" spans="1:11" x14ac:dyDescent="0.3">
      <c r="A45">
        <f t="shared" si="0"/>
        <v>44</v>
      </c>
      <c r="B45" t="s">
        <v>40</v>
      </c>
      <c r="C45" t="s">
        <v>44</v>
      </c>
      <c r="D45" s="3">
        <f>_xlfn.XLOOKUP(Documentacion[[#This Row],[Sprint]],Sprints[Sprint],Sprints[FechaInicio],"")</f>
        <v>46296</v>
      </c>
      <c r="E45" s="3">
        <f>_xlfn.XLOOKUP(Documentacion[[#This Row],[Sprint]],Sprints[Sprint],Sprints[FechaFin],"")</f>
        <v>46326</v>
      </c>
      <c r="F45" t="s">
        <v>88</v>
      </c>
      <c r="G45" t="s">
        <v>140</v>
      </c>
      <c r="I45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45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46" spans="1:11" x14ac:dyDescent="0.3">
      <c r="A46">
        <f t="shared" si="0"/>
        <v>45</v>
      </c>
      <c r="B46" t="s">
        <v>40</v>
      </c>
      <c r="C46" t="s">
        <v>45</v>
      </c>
      <c r="D46" s="3">
        <f>_xlfn.XLOOKUP(Documentacion[[#This Row],[Sprint]],Sprints[Sprint],Sprints[FechaInicio],"")</f>
        <v>46327</v>
      </c>
      <c r="E46" s="3">
        <f>_xlfn.XLOOKUP(Documentacion[[#This Row],[Sprint]],Sprints[Sprint],Sprints[FechaFin],"")</f>
        <v>46356</v>
      </c>
      <c r="F46" t="s">
        <v>89</v>
      </c>
      <c r="G46" t="s">
        <v>140</v>
      </c>
      <c r="I46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46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47" spans="1:11" x14ac:dyDescent="0.3">
      <c r="A47">
        <f t="shared" si="0"/>
        <v>46</v>
      </c>
      <c r="B47" t="s">
        <v>40</v>
      </c>
      <c r="C47" t="s">
        <v>45</v>
      </c>
      <c r="D47" s="3">
        <f>_xlfn.XLOOKUP(Documentacion[[#This Row],[Sprint]],Sprints[Sprint],Sprints[FechaInicio],"")</f>
        <v>46327</v>
      </c>
      <c r="E47" s="3">
        <f>_xlfn.XLOOKUP(Documentacion[[#This Row],[Sprint]],Sprints[Sprint],Sprints[FechaFin],"")</f>
        <v>46356</v>
      </c>
      <c r="F47" t="s">
        <v>90</v>
      </c>
      <c r="G47" t="s">
        <v>140</v>
      </c>
      <c r="I47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47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48" spans="1:11" x14ac:dyDescent="0.3">
      <c r="A48">
        <f t="shared" si="0"/>
        <v>47</v>
      </c>
      <c r="B48" t="s">
        <v>40</v>
      </c>
      <c r="C48" t="s">
        <v>45</v>
      </c>
      <c r="D48" s="3">
        <f>_xlfn.XLOOKUP(Documentacion[[#This Row],[Sprint]],Sprints[Sprint],Sprints[FechaInicio],"")</f>
        <v>46327</v>
      </c>
      <c r="E48" s="3">
        <f>_xlfn.XLOOKUP(Documentacion[[#This Row],[Sprint]],Sprints[Sprint],Sprints[FechaFin],"")</f>
        <v>46356</v>
      </c>
      <c r="F48" t="s">
        <v>91</v>
      </c>
      <c r="G48" t="s">
        <v>140</v>
      </c>
      <c r="I48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48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49" spans="1:11" x14ac:dyDescent="0.3">
      <c r="A49">
        <f t="shared" si="0"/>
        <v>48</v>
      </c>
      <c r="B49" t="s">
        <v>40</v>
      </c>
      <c r="C49" t="s">
        <v>45</v>
      </c>
      <c r="D49" s="3">
        <f>_xlfn.XLOOKUP(Documentacion[[#This Row],[Sprint]],Sprints[Sprint],Sprints[FechaInicio],"")</f>
        <v>46327</v>
      </c>
      <c r="E49" s="3">
        <f>_xlfn.XLOOKUP(Documentacion[[#This Row],[Sprint]],Sprints[Sprint],Sprints[FechaFin],"")</f>
        <v>46356</v>
      </c>
      <c r="F49" t="s">
        <v>92</v>
      </c>
      <c r="G49" t="s">
        <v>140</v>
      </c>
      <c r="I49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49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50" spans="1:11" x14ac:dyDescent="0.3">
      <c r="A50">
        <f t="shared" si="0"/>
        <v>49</v>
      </c>
      <c r="B50" t="s">
        <v>40</v>
      </c>
      <c r="C50" t="s">
        <v>45</v>
      </c>
      <c r="D50" s="3">
        <f>_xlfn.XLOOKUP(Documentacion[[#This Row],[Sprint]],Sprints[Sprint],Sprints[FechaInicio],"")</f>
        <v>46327</v>
      </c>
      <c r="E50" s="3">
        <f>_xlfn.XLOOKUP(Documentacion[[#This Row],[Sprint]],Sprints[Sprint],Sprints[FechaFin],"")</f>
        <v>46356</v>
      </c>
      <c r="F50" t="s">
        <v>93</v>
      </c>
      <c r="G50" t="s">
        <v>140</v>
      </c>
      <c r="I50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50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51" spans="1:11" x14ac:dyDescent="0.3">
      <c r="A51">
        <f t="shared" si="0"/>
        <v>50</v>
      </c>
      <c r="B51" t="s">
        <v>40</v>
      </c>
      <c r="C51" t="s">
        <v>45</v>
      </c>
      <c r="D51" s="3">
        <f>_xlfn.XLOOKUP(Documentacion[[#This Row],[Sprint]],Sprints[Sprint],Sprints[FechaInicio],"")</f>
        <v>46327</v>
      </c>
      <c r="E51" s="3">
        <f>_xlfn.XLOOKUP(Documentacion[[#This Row],[Sprint]],Sprints[Sprint],Sprints[FechaFin],"")</f>
        <v>46356</v>
      </c>
      <c r="F51" t="s">
        <v>94</v>
      </c>
      <c r="G51" t="s">
        <v>140</v>
      </c>
      <c r="I51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51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52" spans="1:11" x14ac:dyDescent="0.3">
      <c r="A52">
        <f t="shared" si="0"/>
        <v>51</v>
      </c>
      <c r="B52" t="s">
        <v>40</v>
      </c>
      <c r="C52" t="s">
        <v>45</v>
      </c>
      <c r="D52" s="3">
        <f>_xlfn.XLOOKUP(Documentacion[[#This Row],[Sprint]],Sprints[Sprint],Sprints[FechaInicio],"")</f>
        <v>46327</v>
      </c>
      <c r="E52" s="3">
        <f>_xlfn.XLOOKUP(Documentacion[[#This Row],[Sprint]],Sprints[Sprint],Sprints[FechaFin],"")</f>
        <v>46356</v>
      </c>
      <c r="F52" t="s">
        <v>95</v>
      </c>
      <c r="G52" t="s">
        <v>140</v>
      </c>
      <c r="I52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52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53" spans="1:11" x14ac:dyDescent="0.3">
      <c r="A53">
        <f t="shared" si="0"/>
        <v>52</v>
      </c>
      <c r="B53" t="s">
        <v>40</v>
      </c>
      <c r="C53" t="s">
        <v>45</v>
      </c>
      <c r="D53" s="3">
        <f>_xlfn.XLOOKUP(Documentacion[[#This Row],[Sprint]],Sprints[Sprint],Sprints[FechaInicio],"")</f>
        <v>46327</v>
      </c>
      <c r="E53" s="3">
        <f>_xlfn.XLOOKUP(Documentacion[[#This Row],[Sprint]],Sprints[Sprint],Sprints[FechaFin],"")</f>
        <v>46356</v>
      </c>
      <c r="F53" t="s">
        <v>96</v>
      </c>
      <c r="G53" t="s">
        <v>140</v>
      </c>
      <c r="I53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53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54" spans="1:11" x14ac:dyDescent="0.3">
      <c r="A54">
        <f t="shared" si="0"/>
        <v>53</v>
      </c>
      <c r="B54" t="s">
        <v>40</v>
      </c>
      <c r="C54" t="s">
        <v>45</v>
      </c>
      <c r="D54" s="3">
        <f>_xlfn.XLOOKUP(Documentacion[[#This Row],[Sprint]],Sprints[Sprint],Sprints[FechaInicio],"")</f>
        <v>46327</v>
      </c>
      <c r="E54" s="3">
        <f>_xlfn.XLOOKUP(Documentacion[[#This Row],[Sprint]],Sprints[Sprint],Sprints[FechaFin],"")</f>
        <v>46356</v>
      </c>
      <c r="F54" t="s">
        <v>97</v>
      </c>
      <c r="G54" t="s">
        <v>140</v>
      </c>
      <c r="I54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54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55" spans="1:11" x14ac:dyDescent="0.3">
      <c r="A55">
        <f t="shared" si="0"/>
        <v>54</v>
      </c>
      <c r="B55" t="s">
        <v>40</v>
      </c>
      <c r="C55" t="s">
        <v>45</v>
      </c>
      <c r="D55" s="3">
        <f>_xlfn.XLOOKUP(Documentacion[[#This Row],[Sprint]],Sprints[Sprint],Sprints[FechaInicio],"")</f>
        <v>46327</v>
      </c>
      <c r="E55" s="3">
        <f>_xlfn.XLOOKUP(Documentacion[[#This Row],[Sprint]],Sprints[Sprint],Sprints[FechaFin],"")</f>
        <v>46356</v>
      </c>
      <c r="F55" t="s">
        <v>98</v>
      </c>
      <c r="G55" t="s">
        <v>140</v>
      </c>
      <c r="I55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55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56" spans="1:11" x14ac:dyDescent="0.3">
      <c r="A56">
        <f t="shared" si="0"/>
        <v>55</v>
      </c>
      <c r="B56" t="s">
        <v>40</v>
      </c>
      <c r="C56" t="s">
        <v>45</v>
      </c>
      <c r="D56" s="3">
        <f>_xlfn.XLOOKUP(Documentacion[[#This Row],[Sprint]],Sprints[Sprint],Sprints[FechaInicio],"")</f>
        <v>46327</v>
      </c>
      <c r="E56" s="3">
        <f>_xlfn.XLOOKUP(Documentacion[[#This Row],[Sprint]],Sprints[Sprint],Sprints[FechaFin],"")</f>
        <v>46356</v>
      </c>
      <c r="F56" t="s">
        <v>99</v>
      </c>
      <c r="G56" t="s">
        <v>140</v>
      </c>
      <c r="I56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56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57" spans="1:11" x14ac:dyDescent="0.3">
      <c r="A57">
        <f t="shared" si="0"/>
        <v>56</v>
      </c>
      <c r="B57" t="s">
        <v>40</v>
      </c>
      <c r="C57" t="s">
        <v>46</v>
      </c>
      <c r="D57" s="3">
        <f>_xlfn.XLOOKUP(Documentacion[[#This Row],[Sprint]],Sprints[Sprint],Sprints[FechaInicio],"")</f>
        <v>46357</v>
      </c>
      <c r="E57" s="3">
        <f>_xlfn.XLOOKUP(Documentacion[[#This Row],[Sprint]],Sprints[Sprint],Sprints[FechaFin],"")</f>
        <v>46387</v>
      </c>
      <c r="F57" t="s">
        <v>100</v>
      </c>
      <c r="G57" t="s">
        <v>140</v>
      </c>
      <c r="I57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57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58" spans="1:11" x14ac:dyDescent="0.3">
      <c r="A58">
        <f t="shared" si="0"/>
        <v>57</v>
      </c>
      <c r="B58" t="s">
        <v>40</v>
      </c>
      <c r="C58" t="s">
        <v>46</v>
      </c>
      <c r="D58" s="3">
        <f>_xlfn.XLOOKUP(Documentacion[[#This Row],[Sprint]],Sprints[Sprint],Sprints[FechaInicio],"")</f>
        <v>46357</v>
      </c>
      <c r="E58" s="3">
        <f>_xlfn.XLOOKUP(Documentacion[[#This Row],[Sprint]],Sprints[Sprint],Sprints[FechaFin],"")</f>
        <v>46387</v>
      </c>
      <c r="F58" t="s">
        <v>101</v>
      </c>
      <c r="G58" t="s">
        <v>140</v>
      </c>
      <c r="I58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58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59" spans="1:11" x14ac:dyDescent="0.3">
      <c r="A59">
        <f t="shared" si="0"/>
        <v>58</v>
      </c>
      <c r="B59" t="s">
        <v>40</v>
      </c>
      <c r="C59" t="s">
        <v>46</v>
      </c>
      <c r="D59" s="3">
        <f>_xlfn.XLOOKUP(Documentacion[[#This Row],[Sprint]],Sprints[Sprint],Sprints[FechaInicio],"")</f>
        <v>46357</v>
      </c>
      <c r="E59" s="3">
        <f>_xlfn.XLOOKUP(Documentacion[[#This Row],[Sprint]],Sprints[Sprint],Sprints[FechaFin],"")</f>
        <v>46387</v>
      </c>
      <c r="F59" t="s">
        <v>102</v>
      </c>
      <c r="G59" t="s">
        <v>140</v>
      </c>
      <c r="I59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59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60" spans="1:11" x14ac:dyDescent="0.3">
      <c r="A60">
        <f t="shared" si="0"/>
        <v>59</v>
      </c>
      <c r="B60" t="s">
        <v>40</v>
      </c>
      <c r="C60" t="s">
        <v>46</v>
      </c>
      <c r="D60" s="3">
        <f>_xlfn.XLOOKUP(Documentacion[[#This Row],[Sprint]],Sprints[Sprint],Sprints[FechaInicio],"")</f>
        <v>46357</v>
      </c>
      <c r="E60" s="3">
        <f>_xlfn.XLOOKUP(Documentacion[[#This Row],[Sprint]],Sprints[Sprint],Sprints[FechaFin],"")</f>
        <v>46387</v>
      </c>
      <c r="F60" t="s">
        <v>103</v>
      </c>
      <c r="G60" t="s">
        <v>140</v>
      </c>
      <c r="I60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60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61" spans="1:11" x14ac:dyDescent="0.3">
      <c r="A61">
        <f t="shared" si="0"/>
        <v>60</v>
      </c>
      <c r="B61" t="s">
        <v>40</v>
      </c>
      <c r="C61" t="s">
        <v>46</v>
      </c>
      <c r="D61" s="3">
        <f>_xlfn.XLOOKUP(Documentacion[[#This Row],[Sprint]],Sprints[Sprint],Sprints[FechaInicio],"")</f>
        <v>46357</v>
      </c>
      <c r="E61" s="3">
        <f>_xlfn.XLOOKUP(Documentacion[[#This Row],[Sprint]],Sprints[Sprint],Sprints[FechaFin],"")</f>
        <v>46387</v>
      </c>
      <c r="F61" t="s">
        <v>104</v>
      </c>
      <c r="G61" t="s">
        <v>140</v>
      </c>
      <c r="I61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61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62" spans="1:11" x14ac:dyDescent="0.3">
      <c r="A62">
        <f t="shared" si="0"/>
        <v>61</v>
      </c>
      <c r="B62" t="s">
        <v>40</v>
      </c>
      <c r="C62" t="s">
        <v>46</v>
      </c>
      <c r="D62" s="3">
        <f>_xlfn.XLOOKUP(Documentacion[[#This Row],[Sprint]],Sprints[Sprint],Sprints[FechaInicio],"")</f>
        <v>46357</v>
      </c>
      <c r="E62" s="3">
        <f>_xlfn.XLOOKUP(Documentacion[[#This Row],[Sprint]],Sprints[Sprint],Sprints[FechaFin],"")</f>
        <v>46387</v>
      </c>
      <c r="F62" t="s">
        <v>105</v>
      </c>
      <c r="G62" t="s">
        <v>140</v>
      </c>
      <c r="I62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62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63" spans="1:11" x14ac:dyDescent="0.3">
      <c r="A63">
        <f t="shared" si="0"/>
        <v>62</v>
      </c>
      <c r="B63" t="s">
        <v>40</v>
      </c>
      <c r="C63" t="s">
        <v>46</v>
      </c>
      <c r="D63" s="3">
        <f>_xlfn.XLOOKUP(Documentacion[[#This Row],[Sprint]],Sprints[Sprint],Sprints[FechaInicio],"")</f>
        <v>46357</v>
      </c>
      <c r="E63" s="3">
        <f>_xlfn.XLOOKUP(Documentacion[[#This Row],[Sprint]],Sprints[Sprint],Sprints[FechaFin],"")</f>
        <v>46387</v>
      </c>
      <c r="F63" t="s">
        <v>106</v>
      </c>
      <c r="G63" t="s">
        <v>140</v>
      </c>
      <c r="I63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63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64" spans="1:11" x14ac:dyDescent="0.3">
      <c r="A64">
        <f t="shared" si="0"/>
        <v>63</v>
      </c>
      <c r="B64" t="s">
        <v>40</v>
      </c>
      <c r="C64" t="s">
        <v>46</v>
      </c>
      <c r="D64" s="3">
        <f>_xlfn.XLOOKUP(Documentacion[[#This Row],[Sprint]],Sprints[Sprint],Sprints[FechaInicio],"")</f>
        <v>46357</v>
      </c>
      <c r="E64" s="3">
        <f>_xlfn.XLOOKUP(Documentacion[[#This Row],[Sprint]],Sprints[Sprint],Sprints[FechaFin],"")</f>
        <v>46387</v>
      </c>
      <c r="F64" t="s">
        <v>107</v>
      </c>
      <c r="G64" t="s">
        <v>140</v>
      </c>
      <c r="I64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64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65" spans="1:11" x14ac:dyDescent="0.3">
      <c r="A65">
        <f t="shared" si="0"/>
        <v>64</v>
      </c>
      <c r="B65" t="s">
        <v>40</v>
      </c>
      <c r="C65" t="s">
        <v>46</v>
      </c>
      <c r="D65" s="3">
        <f>_xlfn.XLOOKUP(Documentacion[[#This Row],[Sprint]],Sprints[Sprint],Sprints[FechaInicio],"")</f>
        <v>46357</v>
      </c>
      <c r="E65" s="3">
        <f>_xlfn.XLOOKUP(Documentacion[[#This Row],[Sprint]],Sprints[Sprint],Sprints[FechaFin],"")</f>
        <v>46387</v>
      </c>
      <c r="F65" t="s">
        <v>108</v>
      </c>
      <c r="G65" t="s">
        <v>140</v>
      </c>
      <c r="I65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65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66" spans="1:11" x14ac:dyDescent="0.3">
      <c r="A66">
        <f t="shared" si="0"/>
        <v>65</v>
      </c>
      <c r="B66" t="s">
        <v>40</v>
      </c>
      <c r="C66" t="s">
        <v>46</v>
      </c>
      <c r="D66" s="3">
        <f>_xlfn.XLOOKUP(Documentacion[[#This Row],[Sprint]],Sprints[Sprint],Sprints[FechaInicio],"")</f>
        <v>46357</v>
      </c>
      <c r="E66" s="3">
        <f>_xlfn.XLOOKUP(Documentacion[[#This Row],[Sprint]],Sprints[Sprint],Sprints[FechaFin],"")</f>
        <v>46387</v>
      </c>
      <c r="F66" t="s">
        <v>109</v>
      </c>
      <c r="G66" t="s">
        <v>140</v>
      </c>
      <c r="I66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66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67" spans="1:11" x14ac:dyDescent="0.3">
      <c r="A67">
        <f t="shared" ref="A67:A69" si="1">ROW()-1</f>
        <v>66</v>
      </c>
      <c r="B67" t="s">
        <v>40</v>
      </c>
      <c r="C67" t="s">
        <v>46</v>
      </c>
      <c r="D67" s="3">
        <f>_xlfn.XLOOKUP(Documentacion[[#This Row],[Sprint]],Sprints[Sprint],Sprints[FechaInicio],"")</f>
        <v>46357</v>
      </c>
      <c r="E67" s="3">
        <f>_xlfn.XLOOKUP(Documentacion[[#This Row],[Sprint]],Sprints[Sprint],Sprints[FechaFin],"")</f>
        <v>46387</v>
      </c>
      <c r="F67" t="s">
        <v>110</v>
      </c>
      <c r="G67" t="s">
        <v>140</v>
      </c>
      <c r="I67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67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68" spans="1:11" x14ac:dyDescent="0.3">
      <c r="A68">
        <f t="shared" si="1"/>
        <v>67</v>
      </c>
      <c r="B68" t="s">
        <v>40</v>
      </c>
      <c r="C68" t="s">
        <v>46</v>
      </c>
      <c r="D68" s="3">
        <f>_xlfn.XLOOKUP(Documentacion[[#This Row],[Sprint]],Sprints[Sprint],Sprints[FechaInicio],"")</f>
        <v>46357</v>
      </c>
      <c r="E68" s="3">
        <f>_xlfn.XLOOKUP(Documentacion[[#This Row],[Sprint]],Sprints[Sprint],Sprints[FechaFin],"")</f>
        <v>46387</v>
      </c>
      <c r="F68" t="s">
        <v>111</v>
      </c>
      <c r="G68" t="s">
        <v>140</v>
      </c>
      <c r="I68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68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69" spans="1:11" x14ac:dyDescent="0.3">
      <c r="A69">
        <f t="shared" si="1"/>
        <v>68</v>
      </c>
      <c r="B69" t="s">
        <v>40</v>
      </c>
      <c r="C69" t="s">
        <v>46</v>
      </c>
      <c r="D69" s="3">
        <f>_xlfn.XLOOKUP(Documentacion[[#This Row],[Sprint]],Sprints[Sprint],Sprints[FechaInicio],"")</f>
        <v>46357</v>
      </c>
      <c r="E69" s="3">
        <f>_xlfn.XLOOKUP(Documentacion[[#This Row],[Sprint]],Sprints[Sprint],Sprints[FechaFin],"")</f>
        <v>46387</v>
      </c>
      <c r="F69" t="s">
        <v>112</v>
      </c>
      <c r="G69" t="s">
        <v>140</v>
      </c>
      <c r="I69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69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70" spans="1:11" x14ac:dyDescent="0.3">
      <c r="A70">
        <f>ROW()-1</f>
        <v>69</v>
      </c>
      <c r="B70" t="s">
        <v>42</v>
      </c>
      <c r="C70" t="s">
        <v>44</v>
      </c>
      <c r="D70" s="3">
        <f>_xlfn.XLOOKUP(Documentacion[[#This Row],[Sprint]],Sprints[Sprint],Sprints[FechaInicio],"")</f>
        <v>46296</v>
      </c>
      <c r="E70" s="3">
        <f>_xlfn.XLOOKUP(Documentacion[[#This Row],[Sprint]],Sprints[Sprint],Sprints[FechaFin],"")</f>
        <v>46326</v>
      </c>
      <c r="F70" t="s">
        <v>79</v>
      </c>
      <c r="G70" t="s">
        <v>140</v>
      </c>
      <c r="I70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70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71" spans="1:11" x14ac:dyDescent="0.3">
      <c r="A71">
        <f t="shared" ref="A71:A103" si="2">ROW()-1</f>
        <v>70</v>
      </c>
      <c r="B71" t="s">
        <v>42</v>
      </c>
      <c r="C71" t="s">
        <v>44</v>
      </c>
      <c r="D71" s="3">
        <f>_xlfn.XLOOKUP(Documentacion[[#This Row],[Sprint]],Sprints[Sprint],Sprints[FechaInicio],"")</f>
        <v>46296</v>
      </c>
      <c r="E71" s="3">
        <f>_xlfn.XLOOKUP(Documentacion[[#This Row],[Sprint]],Sprints[Sprint],Sprints[FechaFin],"")</f>
        <v>46326</v>
      </c>
      <c r="F71" t="s">
        <v>80</v>
      </c>
      <c r="G71" t="s">
        <v>140</v>
      </c>
      <c r="I71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71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72" spans="1:11" x14ac:dyDescent="0.3">
      <c r="A72">
        <f t="shared" si="2"/>
        <v>71</v>
      </c>
      <c r="B72" t="s">
        <v>42</v>
      </c>
      <c r="C72" t="s">
        <v>44</v>
      </c>
      <c r="D72" s="3">
        <f>_xlfn.XLOOKUP(Documentacion[[#This Row],[Sprint]],Sprints[Sprint],Sprints[FechaInicio],"")</f>
        <v>46296</v>
      </c>
      <c r="E72" s="3">
        <f>_xlfn.XLOOKUP(Documentacion[[#This Row],[Sprint]],Sprints[Sprint],Sprints[FechaFin],"")</f>
        <v>46326</v>
      </c>
      <c r="F72" t="s">
        <v>81</v>
      </c>
      <c r="G72" t="s">
        <v>140</v>
      </c>
      <c r="I72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72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73" spans="1:11" x14ac:dyDescent="0.3">
      <c r="A73">
        <f t="shared" si="2"/>
        <v>72</v>
      </c>
      <c r="B73" t="s">
        <v>42</v>
      </c>
      <c r="C73" t="s">
        <v>44</v>
      </c>
      <c r="D73" s="3">
        <f>_xlfn.XLOOKUP(Documentacion[[#This Row],[Sprint]],Sprints[Sprint],Sprints[FechaInicio],"")</f>
        <v>46296</v>
      </c>
      <c r="E73" s="3">
        <f>_xlfn.XLOOKUP(Documentacion[[#This Row],[Sprint]],Sprints[Sprint],Sprints[FechaFin],"")</f>
        <v>46326</v>
      </c>
      <c r="F73" t="s">
        <v>82</v>
      </c>
      <c r="G73" t="s">
        <v>140</v>
      </c>
      <c r="I73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73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74" spans="1:11" x14ac:dyDescent="0.3">
      <c r="A74">
        <f t="shared" si="2"/>
        <v>73</v>
      </c>
      <c r="B74" t="s">
        <v>42</v>
      </c>
      <c r="C74" t="s">
        <v>44</v>
      </c>
      <c r="D74" s="3">
        <f>_xlfn.XLOOKUP(Documentacion[[#This Row],[Sprint]],Sprints[Sprint],Sprints[FechaInicio],"")</f>
        <v>46296</v>
      </c>
      <c r="E74" s="3">
        <f>_xlfn.XLOOKUP(Documentacion[[#This Row],[Sprint]],Sprints[Sprint],Sprints[FechaFin],"")</f>
        <v>46326</v>
      </c>
      <c r="F74" t="s">
        <v>83</v>
      </c>
      <c r="G74" t="s">
        <v>140</v>
      </c>
      <c r="I74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74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75" spans="1:11" x14ac:dyDescent="0.3">
      <c r="A75">
        <f t="shared" si="2"/>
        <v>74</v>
      </c>
      <c r="B75" t="s">
        <v>42</v>
      </c>
      <c r="C75" t="s">
        <v>44</v>
      </c>
      <c r="D75" s="3">
        <f>_xlfn.XLOOKUP(Documentacion[[#This Row],[Sprint]],Sprints[Sprint],Sprints[FechaInicio],"")</f>
        <v>46296</v>
      </c>
      <c r="E75" s="3">
        <f>_xlfn.XLOOKUP(Documentacion[[#This Row],[Sprint]],Sprints[Sprint],Sprints[FechaFin],"")</f>
        <v>46326</v>
      </c>
      <c r="F75" t="s">
        <v>84</v>
      </c>
      <c r="G75" t="s">
        <v>140</v>
      </c>
      <c r="I75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75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76" spans="1:11" x14ac:dyDescent="0.3">
      <c r="A76">
        <f t="shared" si="2"/>
        <v>75</v>
      </c>
      <c r="B76" t="s">
        <v>42</v>
      </c>
      <c r="C76" t="s">
        <v>44</v>
      </c>
      <c r="D76" s="3">
        <f>_xlfn.XLOOKUP(Documentacion[[#This Row],[Sprint]],Sprints[Sprint],Sprints[FechaInicio],"")</f>
        <v>46296</v>
      </c>
      <c r="E76" s="3">
        <f>_xlfn.XLOOKUP(Documentacion[[#This Row],[Sprint]],Sprints[Sprint],Sprints[FechaFin],"")</f>
        <v>46326</v>
      </c>
      <c r="F76" t="s">
        <v>85</v>
      </c>
      <c r="G76" t="s">
        <v>140</v>
      </c>
      <c r="I76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76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77" spans="1:11" x14ac:dyDescent="0.3">
      <c r="A77">
        <f t="shared" si="2"/>
        <v>76</v>
      </c>
      <c r="B77" t="s">
        <v>42</v>
      </c>
      <c r="C77" t="s">
        <v>44</v>
      </c>
      <c r="D77" s="3">
        <f>_xlfn.XLOOKUP(Documentacion[[#This Row],[Sprint]],Sprints[Sprint],Sprints[FechaInicio],"")</f>
        <v>46296</v>
      </c>
      <c r="E77" s="3">
        <f>_xlfn.XLOOKUP(Documentacion[[#This Row],[Sprint]],Sprints[Sprint],Sprints[FechaFin],"")</f>
        <v>46326</v>
      </c>
      <c r="F77" t="s">
        <v>86</v>
      </c>
      <c r="G77" t="s">
        <v>140</v>
      </c>
      <c r="I77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77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78" spans="1:11" x14ac:dyDescent="0.3">
      <c r="A78">
        <f t="shared" si="2"/>
        <v>77</v>
      </c>
      <c r="B78" t="s">
        <v>42</v>
      </c>
      <c r="C78" t="s">
        <v>44</v>
      </c>
      <c r="D78" s="3">
        <f>_xlfn.XLOOKUP(Documentacion[[#This Row],[Sprint]],Sprints[Sprint],Sprints[FechaInicio],"")</f>
        <v>46296</v>
      </c>
      <c r="E78" s="3">
        <f>_xlfn.XLOOKUP(Documentacion[[#This Row],[Sprint]],Sprints[Sprint],Sprints[FechaFin],"")</f>
        <v>46326</v>
      </c>
      <c r="F78" t="s">
        <v>87</v>
      </c>
      <c r="G78" t="s">
        <v>140</v>
      </c>
      <c r="I78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78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79" spans="1:11" x14ac:dyDescent="0.3">
      <c r="A79">
        <f t="shared" si="2"/>
        <v>78</v>
      </c>
      <c r="B79" t="s">
        <v>42</v>
      </c>
      <c r="C79" t="s">
        <v>44</v>
      </c>
      <c r="D79" s="3">
        <f>_xlfn.XLOOKUP(Documentacion[[#This Row],[Sprint]],Sprints[Sprint],Sprints[FechaInicio],"")</f>
        <v>46296</v>
      </c>
      <c r="E79" s="3">
        <f>_xlfn.XLOOKUP(Documentacion[[#This Row],[Sprint]],Sprints[Sprint],Sprints[FechaFin],"")</f>
        <v>46326</v>
      </c>
      <c r="F79" t="s">
        <v>88</v>
      </c>
      <c r="G79" t="s">
        <v>140</v>
      </c>
      <c r="I79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79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80" spans="1:11" x14ac:dyDescent="0.3">
      <c r="A80">
        <f t="shared" si="2"/>
        <v>79</v>
      </c>
      <c r="B80" t="s">
        <v>42</v>
      </c>
      <c r="C80" t="s">
        <v>45</v>
      </c>
      <c r="D80" s="3">
        <f>_xlfn.XLOOKUP(Documentacion[[#This Row],[Sprint]],Sprints[Sprint],Sprints[FechaInicio],"")</f>
        <v>46327</v>
      </c>
      <c r="E80" s="3">
        <f>_xlfn.XLOOKUP(Documentacion[[#This Row],[Sprint]],Sprints[Sprint],Sprints[FechaFin],"")</f>
        <v>46356</v>
      </c>
      <c r="F80" t="s">
        <v>89</v>
      </c>
      <c r="G80" t="s">
        <v>140</v>
      </c>
      <c r="I80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80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81" spans="1:11" x14ac:dyDescent="0.3">
      <c r="A81">
        <f t="shared" si="2"/>
        <v>80</v>
      </c>
      <c r="B81" t="s">
        <v>42</v>
      </c>
      <c r="C81" t="s">
        <v>45</v>
      </c>
      <c r="D81" s="3">
        <f>_xlfn.XLOOKUP(Documentacion[[#This Row],[Sprint]],Sprints[Sprint],Sprints[FechaInicio],"")</f>
        <v>46327</v>
      </c>
      <c r="E81" s="3">
        <f>_xlfn.XLOOKUP(Documentacion[[#This Row],[Sprint]],Sprints[Sprint],Sprints[FechaFin],"")</f>
        <v>46356</v>
      </c>
      <c r="F81" t="s">
        <v>90</v>
      </c>
      <c r="G81" t="s">
        <v>140</v>
      </c>
      <c r="I81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81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82" spans="1:11" x14ac:dyDescent="0.3">
      <c r="A82">
        <f t="shared" si="2"/>
        <v>81</v>
      </c>
      <c r="B82" t="s">
        <v>42</v>
      </c>
      <c r="C82" t="s">
        <v>45</v>
      </c>
      <c r="D82" s="3">
        <f>_xlfn.XLOOKUP(Documentacion[[#This Row],[Sprint]],Sprints[Sprint],Sprints[FechaInicio],"")</f>
        <v>46327</v>
      </c>
      <c r="E82" s="3">
        <f>_xlfn.XLOOKUP(Documentacion[[#This Row],[Sprint]],Sprints[Sprint],Sprints[FechaFin],"")</f>
        <v>46356</v>
      </c>
      <c r="F82" t="s">
        <v>91</v>
      </c>
      <c r="G82" t="s">
        <v>140</v>
      </c>
      <c r="I82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82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83" spans="1:11" x14ac:dyDescent="0.3">
      <c r="A83">
        <f t="shared" si="2"/>
        <v>82</v>
      </c>
      <c r="B83" t="s">
        <v>42</v>
      </c>
      <c r="C83" t="s">
        <v>45</v>
      </c>
      <c r="D83" s="3">
        <f>_xlfn.XLOOKUP(Documentacion[[#This Row],[Sprint]],Sprints[Sprint],Sprints[FechaInicio],"")</f>
        <v>46327</v>
      </c>
      <c r="E83" s="3">
        <f>_xlfn.XLOOKUP(Documentacion[[#This Row],[Sprint]],Sprints[Sprint],Sprints[FechaFin],"")</f>
        <v>46356</v>
      </c>
      <c r="F83" t="s">
        <v>92</v>
      </c>
      <c r="G83" t="s">
        <v>140</v>
      </c>
      <c r="I83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83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84" spans="1:11" x14ac:dyDescent="0.3">
      <c r="A84">
        <f t="shared" si="2"/>
        <v>83</v>
      </c>
      <c r="B84" t="s">
        <v>42</v>
      </c>
      <c r="C84" t="s">
        <v>45</v>
      </c>
      <c r="D84" s="3">
        <f>_xlfn.XLOOKUP(Documentacion[[#This Row],[Sprint]],Sprints[Sprint],Sprints[FechaInicio],"")</f>
        <v>46327</v>
      </c>
      <c r="E84" s="3">
        <f>_xlfn.XLOOKUP(Documentacion[[#This Row],[Sprint]],Sprints[Sprint],Sprints[FechaFin],"")</f>
        <v>46356</v>
      </c>
      <c r="F84" t="s">
        <v>93</v>
      </c>
      <c r="G84" t="s">
        <v>140</v>
      </c>
      <c r="I84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84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85" spans="1:11" x14ac:dyDescent="0.3">
      <c r="A85">
        <f t="shared" si="2"/>
        <v>84</v>
      </c>
      <c r="B85" t="s">
        <v>42</v>
      </c>
      <c r="C85" t="s">
        <v>45</v>
      </c>
      <c r="D85" s="3">
        <f>_xlfn.XLOOKUP(Documentacion[[#This Row],[Sprint]],Sprints[Sprint],Sprints[FechaInicio],"")</f>
        <v>46327</v>
      </c>
      <c r="E85" s="3">
        <f>_xlfn.XLOOKUP(Documentacion[[#This Row],[Sprint]],Sprints[Sprint],Sprints[FechaFin],"")</f>
        <v>46356</v>
      </c>
      <c r="F85" t="s">
        <v>94</v>
      </c>
      <c r="G85" t="s">
        <v>140</v>
      </c>
      <c r="I85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85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86" spans="1:11" x14ac:dyDescent="0.3">
      <c r="A86">
        <f t="shared" si="2"/>
        <v>85</v>
      </c>
      <c r="B86" t="s">
        <v>42</v>
      </c>
      <c r="C86" t="s">
        <v>45</v>
      </c>
      <c r="D86" s="3">
        <f>_xlfn.XLOOKUP(Documentacion[[#This Row],[Sprint]],Sprints[Sprint],Sprints[FechaInicio],"")</f>
        <v>46327</v>
      </c>
      <c r="E86" s="3">
        <f>_xlfn.XLOOKUP(Documentacion[[#This Row],[Sprint]],Sprints[Sprint],Sprints[FechaFin],"")</f>
        <v>46356</v>
      </c>
      <c r="F86" t="s">
        <v>95</v>
      </c>
      <c r="G86" t="s">
        <v>140</v>
      </c>
      <c r="I86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86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87" spans="1:11" x14ac:dyDescent="0.3">
      <c r="A87">
        <f t="shared" si="2"/>
        <v>86</v>
      </c>
      <c r="B87" t="s">
        <v>42</v>
      </c>
      <c r="C87" t="s">
        <v>45</v>
      </c>
      <c r="D87" s="3">
        <f>_xlfn.XLOOKUP(Documentacion[[#This Row],[Sprint]],Sprints[Sprint],Sprints[FechaInicio],"")</f>
        <v>46327</v>
      </c>
      <c r="E87" s="3">
        <f>_xlfn.XLOOKUP(Documentacion[[#This Row],[Sprint]],Sprints[Sprint],Sprints[FechaFin],"")</f>
        <v>46356</v>
      </c>
      <c r="F87" t="s">
        <v>96</v>
      </c>
      <c r="G87" t="s">
        <v>140</v>
      </c>
      <c r="I87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87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88" spans="1:11" x14ac:dyDescent="0.3">
      <c r="A88">
        <f t="shared" si="2"/>
        <v>87</v>
      </c>
      <c r="B88" t="s">
        <v>42</v>
      </c>
      <c r="C88" t="s">
        <v>45</v>
      </c>
      <c r="D88" s="3">
        <f>_xlfn.XLOOKUP(Documentacion[[#This Row],[Sprint]],Sprints[Sprint],Sprints[FechaInicio],"")</f>
        <v>46327</v>
      </c>
      <c r="E88" s="3">
        <f>_xlfn.XLOOKUP(Documentacion[[#This Row],[Sprint]],Sprints[Sprint],Sprints[FechaFin],"")</f>
        <v>46356</v>
      </c>
      <c r="F88" t="s">
        <v>97</v>
      </c>
      <c r="G88" t="s">
        <v>140</v>
      </c>
      <c r="I88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88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89" spans="1:11" x14ac:dyDescent="0.3">
      <c r="A89">
        <f t="shared" si="2"/>
        <v>88</v>
      </c>
      <c r="B89" t="s">
        <v>42</v>
      </c>
      <c r="C89" t="s">
        <v>45</v>
      </c>
      <c r="D89" s="3">
        <f>_xlfn.XLOOKUP(Documentacion[[#This Row],[Sprint]],Sprints[Sprint],Sprints[FechaInicio],"")</f>
        <v>46327</v>
      </c>
      <c r="E89" s="3">
        <f>_xlfn.XLOOKUP(Documentacion[[#This Row],[Sprint]],Sprints[Sprint],Sprints[FechaFin],"")</f>
        <v>46356</v>
      </c>
      <c r="F89" t="s">
        <v>98</v>
      </c>
      <c r="G89" t="s">
        <v>140</v>
      </c>
      <c r="I89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89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90" spans="1:11" x14ac:dyDescent="0.3">
      <c r="A90">
        <f t="shared" si="2"/>
        <v>89</v>
      </c>
      <c r="B90" t="s">
        <v>42</v>
      </c>
      <c r="C90" t="s">
        <v>45</v>
      </c>
      <c r="D90" s="3">
        <f>_xlfn.XLOOKUP(Documentacion[[#This Row],[Sprint]],Sprints[Sprint],Sprints[FechaInicio],"")</f>
        <v>46327</v>
      </c>
      <c r="E90" s="3">
        <f>_xlfn.XLOOKUP(Documentacion[[#This Row],[Sprint]],Sprints[Sprint],Sprints[FechaFin],"")</f>
        <v>46356</v>
      </c>
      <c r="F90" t="s">
        <v>99</v>
      </c>
      <c r="G90" t="s">
        <v>140</v>
      </c>
      <c r="I90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90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91" spans="1:11" x14ac:dyDescent="0.3">
      <c r="A91">
        <f t="shared" si="2"/>
        <v>90</v>
      </c>
      <c r="B91" t="s">
        <v>42</v>
      </c>
      <c r="C91" t="s">
        <v>46</v>
      </c>
      <c r="D91" s="3">
        <f>_xlfn.XLOOKUP(Documentacion[[#This Row],[Sprint]],Sprints[Sprint],Sprints[FechaInicio],"")</f>
        <v>46357</v>
      </c>
      <c r="E91" s="3">
        <f>_xlfn.XLOOKUP(Documentacion[[#This Row],[Sprint]],Sprints[Sprint],Sprints[FechaFin],"")</f>
        <v>46387</v>
      </c>
      <c r="F91" t="s">
        <v>100</v>
      </c>
      <c r="G91" t="s">
        <v>140</v>
      </c>
      <c r="I91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91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92" spans="1:11" x14ac:dyDescent="0.3">
      <c r="A92">
        <f t="shared" si="2"/>
        <v>91</v>
      </c>
      <c r="B92" t="s">
        <v>42</v>
      </c>
      <c r="C92" t="s">
        <v>46</v>
      </c>
      <c r="D92" s="3">
        <f>_xlfn.XLOOKUP(Documentacion[[#This Row],[Sprint]],Sprints[Sprint],Sprints[FechaInicio],"")</f>
        <v>46357</v>
      </c>
      <c r="E92" s="3">
        <f>_xlfn.XLOOKUP(Documentacion[[#This Row],[Sprint]],Sprints[Sprint],Sprints[FechaFin],"")</f>
        <v>46387</v>
      </c>
      <c r="F92" t="s">
        <v>101</v>
      </c>
      <c r="G92" t="s">
        <v>140</v>
      </c>
      <c r="I92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92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93" spans="1:11" x14ac:dyDescent="0.3">
      <c r="A93">
        <f t="shared" si="2"/>
        <v>92</v>
      </c>
      <c r="B93" t="s">
        <v>42</v>
      </c>
      <c r="C93" t="s">
        <v>46</v>
      </c>
      <c r="D93" s="3">
        <f>_xlfn.XLOOKUP(Documentacion[[#This Row],[Sprint]],Sprints[Sprint],Sprints[FechaInicio],"")</f>
        <v>46357</v>
      </c>
      <c r="E93" s="3">
        <f>_xlfn.XLOOKUP(Documentacion[[#This Row],[Sprint]],Sprints[Sprint],Sprints[FechaFin],"")</f>
        <v>46387</v>
      </c>
      <c r="F93" t="s">
        <v>102</v>
      </c>
      <c r="G93" t="s">
        <v>140</v>
      </c>
      <c r="I93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93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94" spans="1:11" x14ac:dyDescent="0.3">
      <c r="A94">
        <f t="shared" si="2"/>
        <v>93</v>
      </c>
      <c r="B94" t="s">
        <v>42</v>
      </c>
      <c r="C94" t="s">
        <v>46</v>
      </c>
      <c r="D94" s="3">
        <f>_xlfn.XLOOKUP(Documentacion[[#This Row],[Sprint]],Sprints[Sprint],Sprints[FechaInicio],"")</f>
        <v>46357</v>
      </c>
      <c r="E94" s="3">
        <f>_xlfn.XLOOKUP(Documentacion[[#This Row],[Sprint]],Sprints[Sprint],Sprints[FechaFin],"")</f>
        <v>46387</v>
      </c>
      <c r="F94" t="s">
        <v>103</v>
      </c>
      <c r="G94" t="s">
        <v>140</v>
      </c>
      <c r="I94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94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95" spans="1:11" x14ac:dyDescent="0.3">
      <c r="A95">
        <f t="shared" si="2"/>
        <v>94</v>
      </c>
      <c r="B95" t="s">
        <v>42</v>
      </c>
      <c r="C95" t="s">
        <v>46</v>
      </c>
      <c r="D95" s="3">
        <f>_xlfn.XLOOKUP(Documentacion[[#This Row],[Sprint]],Sprints[Sprint],Sprints[FechaInicio],"")</f>
        <v>46357</v>
      </c>
      <c r="E95" s="3">
        <f>_xlfn.XLOOKUP(Documentacion[[#This Row],[Sprint]],Sprints[Sprint],Sprints[FechaFin],"")</f>
        <v>46387</v>
      </c>
      <c r="F95" t="s">
        <v>104</v>
      </c>
      <c r="G95" t="s">
        <v>140</v>
      </c>
      <c r="I95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95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96" spans="1:11" x14ac:dyDescent="0.3">
      <c r="A96">
        <f t="shared" si="2"/>
        <v>95</v>
      </c>
      <c r="B96" t="s">
        <v>42</v>
      </c>
      <c r="C96" t="s">
        <v>46</v>
      </c>
      <c r="D96" s="3">
        <f>_xlfn.XLOOKUP(Documentacion[[#This Row],[Sprint]],Sprints[Sprint],Sprints[FechaInicio],"")</f>
        <v>46357</v>
      </c>
      <c r="E96" s="3">
        <f>_xlfn.XLOOKUP(Documentacion[[#This Row],[Sprint]],Sprints[Sprint],Sprints[FechaFin],"")</f>
        <v>46387</v>
      </c>
      <c r="F96" t="s">
        <v>105</v>
      </c>
      <c r="G96" t="s">
        <v>140</v>
      </c>
      <c r="I96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96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97" spans="1:11" x14ac:dyDescent="0.3">
      <c r="A97">
        <f t="shared" si="2"/>
        <v>96</v>
      </c>
      <c r="B97" t="s">
        <v>42</v>
      </c>
      <c r="C97" t="s">
        <v>46</v>
      </c>
      <c r="D97" s="3">
        <f>_xlfn.XLOOKUP(Documentacion[[#This Row],[Sprint]],Sprints[Sprint],Sprints[FechaInicio],"")</f>
        <v>46357</v>
      </c>
      <c r="E97" s="3">
        <f>_xlfn.XLOOKUP(Documentacion[[#This Row],[Sprint]],Sprints[Sprint],Sprints[FechaFin],"")</f>
        <v>46387</v>
      </c>
      <c r="F97" t="s">
        <v>106</v>
      </c>
      <c r="G97" t="s">
        <v>140</v>
      </c>
      <c r="I97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97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98" spans="1:11" x14ac:dyDescent="0.3">
      <c r="A98">
        <f t="shared" si="2"/>
        <v>97</v>
      </c>
      <c r="B98" t="s">
        <v>42</v>
      </c>
      <c r="C98" t="s">
        <v>46</v>
      </c>
      <c r="D98" s="3">
        <f>_xlfn.XLOOKUP(Documentacion[[#This Row],[Sprint]],Sprints[Sprint],Sprints[FechaInicio],"")</f>
        <v>46357</v>
      </c>
      <c r="E98" s="3">
        <f>_xlfn.XLOOKUP(Documentacion[[#This Row],[Sprint]],Sprints[Sprint],Sprints[FechaFin],"")</f>
        <v>46387</v>
      </c>
      <c r="F98" t="s">
        <v>107</v>
      </c>
      <c r="G98" t="s">
        <v>140</v>
      </c>
      <c r="I98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98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99" spans="1:11" x14ac:dyDescent="0.3">
      <c r="A99">
        <f t="shared" si="2"/>
        <v>98</v>
      </c>
      <c r="B99" t="s">
        <v>42</v>
      </c>
      <c r="C99" t="s">
        <v>46</v>
      </c>
      <c r="D99" s="3">
        <f>_xlfn.XLOOKUP(Documentacion[[#This Row],[Sprint]],Sprints[Sprint],Sprints[FechaInicio],"")</f>
        <v>46357</v>
      </c>
      <c r="E99" s="3">
        <f>_xlfn.XLOOKUP(Documentacion[[#This Row],[Sprint]],Sprints[Sprint],Sprints[FechaFin],"")</f>
        <v>46387</v>
      </c>
      <c r="F99" t="s">
        <v>108</v>
      </c>
      <c r="G99" t="s">
        <v>140</v>
      </c>
      <c r="I99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99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100" spans="1:11" x14ac:dyDescent="0.3">
      <c r="A100">
        <f t="shared" si="2"/>
        <v>99</v>
      </c>
      <c r="B100" t="s">
        <v>42</v>
      </c>
      <c r="C100" t="s">
        <v>46</v>
      </c>
      <c r="D100" s="3">
        <f>_xlfn.XLOOKUP(Documentacion[[#This Row],[Sprint]],Sprints[Sprint],Sprints[FechaInicio],"")</f>
        <v>46357</v>
      </c>
      <c r="E100" s="3">
        <f>_xlfn.XLOOKUP(Documentacion[[#This Row],[Sprint]],Sprints[Sprint],Sprints[FechaFin],"")</f>
        <v>46387</v>
      </c>
      <c r="F100" t="s">
        <v>109</v>
      </c>
      <c r="G100" t="s">
        <v>140</v>
      </c>
      <c r="I100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100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101" spans="1:11" x14ac:dyDescent="0.3">
      <c r="A101">
        <f t="shared" si="2"/>
        <v>100</v>
      </c>
      <c r="B101" t="s">
        <v>42</v>
      </c>
      <c r="C101" t="s">
        <v>46</v>
      </c>
      <c r="D101" s="3">
        <f>_xlfn.XLOOKUP(Documentacion[[#This Row],[Sprint]],Sprints[Sprint],Sprints[FechaInicio],"")</f>
        <v>46357</v>
      </c>
      <c r="E101" s="3">
        <f>_xlfn.XLOOKUP(Documentacion[[#This Row],[Sprint]],Sprints[Sprint],Sprints[FechaFin],"")</f>
        <v>46387</v>
      </c>
      <c r="F101" t="s">
        <v>110</v>
      </c>
      <c r="G101" t="s">
        <v>140</v>
      </c>
      <c r="I101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101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102" spans="1:11" x14ac:dyDescent="0.3">
      <c r="A102">
        <f t="shared" si="2"/>
        <v>101</v>
      </c>
      <c r="B102" t="s">
        <v>42</v>
      </c>
      <c r="C102" t="s">
        <v>46</v>
      </c>
      <c r="D102" s="3">
        <f>_xlfn.XLOOKUP(Documentacion[[#This Row],[Sprint]],Sprints[Sprint],Sprints[FechaInicio],"")</f>
        <v>46357</v>
      </c>
      <c r="E102" s="3">
        <f>_xlfn.XLOOKUP(Documentacion[[#This Row],[Sprint]],Sprints[Sprint],Sprints[FechaFin],"")</f>
        <v>46387</v>
      </c>
      <c r="F102" t="s">
        <v>111</v>
      </c>
      <c r="G102" t="s">
        <v>140</v>
      </c>
      <c r="I102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102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  <row r="103" spans="1:11" x14ac:dyDescent="0.3">
      <c r="A103">
        <f t="shared" si="2"/>
        <v>102</v>
      </c>
      <c r="B103" t="s">
        <v>42</v>
      </c>
      <c r="C103" t="s">
        <v>46</v>
      </c>
      <c r="D103" s="3">
        <f>_xlfn.XLOOKUP(Documentacion[[#This Row],[Sprint]],Sprints[Sprint],Sprints[FechaInicio],"")</f>
        <v>46357</v>
      </c>
      <c r="E103" s="3">
        <f>_xlfn.XLOOKUP(Documentacion[[#This Row],[Sprint]],Sprints[Sprint],Sprints[FechaFin],"")</f>
        <v>46387</v>
      </c>
      <c r="F103" t="s">
        <v>112</v>
      </c>
      <c r="G103" t="s">
        <v>140</v>
      </c>
      <c r="I103" s="4" t="str">
        <f ca="1">IF(ISBLANK(Documentacion[[#This Row],[Fecha de fin]]),"",IF(NOT(ISBLANK(Documentacion[[#This Row],[Fecha Presentación]])),IF(Documentacion[[#This Row],[Fecha Presentación]]&lt;=Documentacion[[#This Row],[Fecha de fin]],1,0),IF(TODAY()&gt;Documentacion[[#This Row],[Fecha de fin]],0,"")))</f>
        <v/>
      </c>
      <c r="K103" s="6" t="str">
        <f ca="1">IF(ISBLANK(Documentacion[[#This Row],[Fecha de fin]]),"",IF(NOT(ISBLANK(Documentacion[[#This Row],[Fecha Documento]])),IF(Documentacion[[#This Row],[Fecha Documento]]&lt;=Documentacion[[#This Row],[Fecha de fin]],1,0),IF(TODAY()&gt;Documentacion[[#This Row],[Fecha de fin]],0,"")))</f>
        <v/>
      </c>
    </row>
  </sheetData>
  <dataValidations disablePrompts="1" count="4">
    <dataValidation type="list" allowBlank="1" showInputMessage="1" showErrorMessage="1" sqref="B2:B103" xr:uid="{ED42794B-7BB7-4085-9704-F17CD1923948}">
      <formula1>INDIRECT("Tecnologias")</formula1>
    </dataValidation>
    <dataValidation type="list" allowBlank="1" showInputMessage="1" showErrorMessage="1" sqref="C2:C103" xr:uid="{C8C349F2-6F60-4505-A935-6E8E7D8903FF}">
      <formula1>INDIRECT("Sprints[Sprint]")</formula1>
    </dataValidation>
    <dataValidation type="list" allowBlank="1" showInputMessage="1" showErrorMessage="1" sqref="F2:F103" xr:uid="{9B530298-EECB-4FA4-AE0F-5659F6918E1E}">
      <formula1>INDIRECT("Subetapas")</formula1>
    </dataValidation>
    <dataValidation type="list" allowBlank="1" showInputMessage="1" showErrorMessage="1" sqref="G2:G103" xr:uid="{0E556E4B-8523-44F1-9C5A-95FE97254AB5}">
      <formula1>INDIRECT("EstatusDocumentacion")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5E896E8-B20C-43FD-9AF7-CB292FAF02A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2" iconId="0"/>
              <x14:cfIcon iconSet="3Symbols2" iconId="2"/>
            </x14:iconSet>
          </x14:cfRule>
          <xm:sqref>I2:I103 K2:K103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5B45-EFE0-4AED-BEF1-C8EB3EAB29CF}">
  <dimension ref="A1:J2"/>
  <sheetViews>
    <sheetView workbookViewId="0">
      <selection activeCell="F2" sqref="F2"/>
    </sheetView>
  </sheetViews>
  <sheetFormatPr baseColWidth="10" defaultRowHeight="14.4" x14ac:dyDescent="0.3"/>
  <cols>
    <col min="1" max="1" width="13.44140625" bestFit="1" customWidth="1"/>
    <col min="2" max="2" width="11" customWidth="1"/>
    <col min="3" max="3" width="9.88671875" customWidth="1"/>
    <col min="4" max="4" width="25.21875" customWidth="1"/>
    <col min="5" max="5" width="35.5546875" customWidth="1"/>
    <col min="6" max="6" width="29.109375" bestFit="1" customWidth="1"/>
    <col min="7" max="7" width="33.88671875" customWidth="1"/>
    <col min="8" max="8" width="27.44140625" customWidth="1"/>
    <col min="9" max="9" width="33.33203125" customWidth="1"/>
    <col min="10" max="10" width="37.5546875" customWidth="1"/>
  </cols>
  <sheetData>
    <row r="1" spans="1:10" x14ac:dyDescent="0.3">
      <c r="A1" t="s">
        <v>2</v>
      </c>
      <c r="B1" t="s">
        <v>20</v>
      </c>
      <c r="C1" t="s">
        <v>21</v>
      </c>
      <c r="D1" t="s">
        <v>7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ht="86.4" x14ac:dyDescent="0.3">
      <c r="A2" t="s">
        <v>41</v>
      </c>
      <c r="B2" s="1">
        <v>46302</v>
      </c>
      <c r="C2" s="2">
        <v>0.70833333333333337</v>
      </c>
      <c r="D2" t="s">
        <v>35</v>
      </c>
      <c r="E2" s="10" t="s">
        <v>157</v>
      </c>
      <c r="F2" s="10" t="s">
        <v>158</v>
      </c>
    </row>
  </sheetData>
  <dataValidations count="3">
    <dataValidation type="list" allowBlank="1" showInputMessage="1" showErrorMessage="1" sqref="A2" xr:uid="{9424CD03-765F-4201-B004-7D92759B65A0}">
      <formula1>INDIRECT("Tecnologias")</formula1>
    </dataValidation>
    <dataValidation type="date" allowBlank="1" showInputMessage="1" showErrorMessage="1" sqref="B2" xr:uid="{CD9ACC7A-643B-4B85-BBCF-F9C31EB4CBA6}">
      <formula1>46023</formula1>
      <formula2>47848</formula2>
    </dataValidation>
    <dataValidation type="list" allowBlank="1" showInputMessage="1" showErrorMessage="1" sqref="D2" xr:uid="{B302C46E-2A26-42A6-BCB0-4ED269C3502D}">
      <formula1>INDIRECT("EstatusReuniones")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9EB6C-0CF5-4780-BDBC-EB26D025A4A0}">
  <dimension ref="A1:I2"/>
  <sheetViews>
    <sheetView workbookViewId="0">
      <selection activeCell="G2" sqref="G2"/>
    </sheetView>
  </sheetViews>
  <sheetFormatPr baseColWidth="10" defaultRowHeight="14.4" x14ac:dyDescent="0.3"/>
  <cols>
    <col min="1" max="1" width="17" customWidth="1"/>
    <col min="2" max="3" width="14.77734375" customWidth="1"/>
    <col min="4" max="4" width="34.77734375" customWidth="1"/>
    <col min="5" max="5" width="21.6640625" customWidth="1"/>
    <col min="6" max="6" width="10.44140625" customWidth="1"/>
    <col min="7" max="7" width="31.6640625" customWidth="1"/>
    <col min="8" max="8" width="17.5546875" customWidth="1"/>
    <col min="9" max="9" width="9.21875" customWidth="1"/>
  </cols>
  <sheetData>
    <row r="1" spans="1:9" x14ac:dyDescent="0.3">
      <c r="A1" t="s">
        <v>74</v>
      </c>
      <c r="B1" t="s">
        <v>137</v>
      </c>
      <c r="C1" t="s">
        <v>3</v>
      </c>
      <c r="D1" t="s">
        <v>75</v>
      </c>
      <c r="E1" t="s">
        <v>76</v>
      </c>
      <c r="F1" t="s">
        <v>77</v>
      </c>
      <c r="G1" t="s">
        <v>78</v>
      </c>
      <c r="H1" t="s">
        <v>1</v>
      </c>
      <c r="I1" t="s">
        <v>7</v>
      </c>
    </row>
    <row r="2" spans="1:9" ht="115.2" customHeight="1" x14ac:dyDescent="0.3">
      <c r="B2" t="s">
        <v>41</v>
      </c>
      <c r="C2" t="s">
        <v>79</v>
      </c>
    </row>
  </sheetData>
  <dataValidations count="3">
    <dataValidation type="list" allowBlank="1" showInputMessage="1" showErrorMessage="1" sqref="B2" xr:uid="{7930CEAC-C205-4DD4-92C2-343AED115F56}">
      <formula1>INDIRECT("Tecnologias")</formula1>
    </dataValidation>
    <dataValidation type="list" allowBlank="1" showInputMessage="1" showErrorMessage="1" sqref="C2" xr:uid="{0105477A-476A-4C50-853B-15B32283A395}">
      <formula1>INDIRECT("Subetapas")</formula1>
    </dataValidation>
    <dataValidation type="list" allowBlank="1" showInputMessage="1" showErrorMessage="1" sqref="I2" xr:uid="{7DABE3B0-08CA-4E76-8BD2-428B8DE1B1BB}">
      <formula1>INDIRECT("EstatusDecisiones")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C738-FF98-4B94-B648-D07C29B83468}">
  <dimension ref="A1:T35"/>
  <sheetViews>
    <sheetView workbookViewId="0">
      <selection activeCell="K2" sqref="K2:K4"/>
    </sheetView>
  </sheetViews>
  <sheetFormatPr baseColWidth="10" defaultRowHeight="14.4" x14ac:dyDescent="0.3"/>
  <cols>
    <col min="1" max="1" width="20.6640625" bestFit="1" customWidth="1"/>
    <col min="2" max="2" width="21.88671875" bestFit="1" customWidth="1"/>
    <col min="3" max="3" width="26.88671875" bestFit="1" customWidth="1"/>
    <col min="4" max="4" width="13.33203125" customWidth="1"/>
    <col min="6" max="6" width="11.5546875" style="3"/>
    <col min="7" max="7" width="11.21875" style="3" bestFit="1" customWidth="1"/>
    <col min="8" max="8" width="17.6640625" customWidth="1"/>
    <col min="9" max="9" width="18.109375" customWidth="1"/>
    <col min="10" max="10" width="11.77734375" bestFit="1" customWidth="1"/>
    <col min="12" max="12" width="19.77734375" customWidth="1"/>
    <col min="13" max="13" width="40.6640625" bestFit="1" customWidth="1"/>
    <col min="14" max="14" width="24" bestFit="1" customWidth="1"/>
    <col min="15" max="15" width="13.44140625" bestFit="1" customWidth="1"/>
    <col min="16" max="16" width="30.109375" bestFit="1" customWidth="1"/>
    <col min="17" max="17" width="18.6640625" customWidth="1"/>
    <col min="18" max="18" width="22.77734375" customWidth="1"/>
    <col min="19" max="19" width="8.44140625" bestFit="1" customWidth="1"/>
    <col min="20" max="20" width="40.6640625" bestFit="1" customWidth="1"/>
  </cols>
  <sheetData>
    <row r="1" spans="1:20" x14ac:dyDescent="0.3">
      <c r="A1" t="s">
        <v>28</v>
      </c>
      <c r="B1" t="s">
        <v>34</v>
      </c>
      <c r="C1" t="s">
        <v>47</v>
      </c>
      <c r="D1" t="s">
        <v>39</v>
      </c>
      <c r="E1" t="s">
        <v>17</v>
      </c>
      <c r="F1" s="3" t="s">
        <v>135</v>
      </c>
      <c r="G1" s="3" t="s">
        <v>136</v>
      </c>
      <c r="H1" t="s">
        <v>72</v>
      </c>
      <c r="I1" t="s">
        <v>73</v>
      </c>
      <c r="J1" t="s">
        <v>8</v>
      </c>
      <c r="K1" t="s">
        <v>9</v>
      </c>
      <c r="L1" t="s">
        <v>48</v>
      </c>
      <c r="M1" t="s">
        <v>113</v>
      </c>
      <c r="N1" t="s">
        <v>121</v>
      </c>
      <c r="O1" t="s">
        <v>2</v>
      </c>
      <c r="P1" t="s">
        <v>122</v>
      </c>
      <c r="Q1" t="s">
        <v>139</v>
      </c>
      <c r="R1" t="s">
        <v>142</v>
      </c>
      <c r="S1" t="s">
        <v>17</v>
      </c>
      <c r="T1" t="s">
        <v>113</v>
      </c>
    </row>
    <row r="2" spans="1:20" x14ac:dyDescent="0.3">
      <c r="A2" t="s">
        <v>31</v>
      </c>
      <c r="B2" t="s">
        <v>32</v>
      </c>
      <c r="C2" t="s">
        <v>35</v>
      </c>
      <c r="D2" t="s">
        <v>41</v>
      </c>
      <c r="E2" t="s">
        <v>44</v>
      </c>
      <c r="F2" s="3">
        <v>46296</v>
      </c>
      <c r="G2" s="3">
        <v>46326</v>
      </c>
      <c r="H2" t="s">
        <v>49</v>
      </c>
      <c r="I2" t="s">
        <v>49</v>
      </c>
      <c r="J2" t="s">
        <v>50</v>
      </c>
      <c r="K2" t="s">
        <v>51</v>
      </c>
      <c r="L2" t="s">
        <v>52</v>
      </c>
      <c r="M2" t="s">
        <v>79</v>
      </c>
      <c r="N2" t="s">
        <v>114</v>
      </c>
      <c r="O2" t="s">
        <v>41</v>
      </c>
      <c r="P2" t="s">
        <v>125</v>
      </c>
      <c r="Q2" t="s">
        <v>49</v>
      </c>
      <c r="R2" t="s">
        <v>140</v>
      </c>
      <c r="S2" t="s">
        <v>44</v>
      </c>
      <c r="T2" t="s">
        <v>79</v>
      </c>
    </row>
    <row r="3" spans="1:20" x14ac:dyDescent="0.3">
      <c r="A3" t="s">
        <v>29</v>
      </c>
      <c r="B3" t="s">
        <v>33</v>
      </c>
      <c r="C3" t="s">
        <v>36</v>
      </c>
      <c r="D3" t="s">
        <v>40</v>
      </c>
      <c r="E3" t="s">
        <v>45</v>
      </c>
      <c r="F3" s="3">
        <v>46327</v>
      </c>
      <c r="G3" s="3">
        <v>46356</v>
      </c>
      <c r="H3" t="s">
        <v>53</v>
      </c>
      <c r="I3" t="s">
        <v>53</v>
      </c>
      <c r="J3" t="s">
        <v>54</v>
      </c>
      <c r="K3" t="s">
        <v>55</v>
      </c>
      <c r="L3" t="s">
        <v>56</v>
      </c>
      <c r="M3" t="s">
        <v>80</v>
      </c>
      <c r="N3" t="s">
        <v>115</v>
      </c>
      <c r="O3" t="s">
        <v>41</v>
      </c>
      <c r="P3" t="s">
        <v>126</v>
      </c>
      <c r="Q3" t="s">
        <v>53</v>
      </c>
      <c r="R3" t="s">
        <v>141</v>
      </c>
      <c r="S3" t="s">
        <v>44</v>
      </c>
      <c r="T3" t="s">
        <v>80</v>
      </c>
    </row>
    <row r="4" spans="1:20" x14ac:dyDescent="0.3">
      <c r="A4" t="s">
        <v>30</v>
      </c>
      <c r="C4" t="s">
        <v>37</v>
      </c>
      <c r="D4" t="s">
        <v>42</v>
      </c>
      <c r="E4" t="s">
        <v>46</v>
      </c>
      <c r="F4" s="3">
        <v>46357</v>
      </c>
      <c r="G4" s="3">
        <v>46387</v>
      </c>
      <c r="H4" t="s">
        <v>57</v>
      </c>
      <c r="I4" t="s">
        <v>57</v>
      </c>
      <c r="J4" t="s">
        <v>58</v>
      </c>
      <c r="K4" t="s">
        <v>59</v>
      </c>
      <c r="L4" t="s">
        <v>60</v>
      </c>
      <c r="M4" t="s">
        <v>81</v>
      </c>
      <c r="N4" t="s">
        <v>116</v>
      </c>
      <c r="O4" t="s">
        <v>40</v>
      </c>
      <c r="P4" t="s">
        <v>123</v>
      </c>
      <c r="Q4" t="s">
        <v>57</v>
      </c>
      <c r="R4" t="s">
        <v>52</v>
      </c>
      <c r="S4" t="s">
        <v>44</v>
      </c>
      <c r="T4" t="s">
        <v>81</v>
      </c>
    </row>
    <row r="5" spans="1:20" x14ac:dyDescent="0.3">
      <c r="C5" t="s">
        <v>38</v>
      </c>
      <c r="D5" t="s">
        <v>43</v>
      </c>
      <c r="H5" t="s">
        <v>61</v>
      </c>
      <c r="I5" t="s">
        <v>61</v>
      </c>
      <c r="J5" t="s">
        <v>62</v>
      </c>
      <c r="L5" t="s">
        <v>63</v>
      </c>
      <c r="M5" t="s">
        <v>82</v>
      </c>
      <c r="N5" t="s">
        <v>117</v>
      </c>
      <c r="O5" t="s">
        <v>40</v>
      </c>
      <c r="P5" t="s">
        <v>127</v>
      </c>
      <c r="Q5" t="s">
        <v>61</v>
      </c>
      <c r="R5" t="s">
        <v>56</v>
      </c>
      <c r="S5" t="s">
        <v>44</v>
      </c>
      <c r="T5" t="s">
        <v>82</v>
      </c>
    </row>
    <row r="6" spans="1:20" x14ac:dyDescent="0.3">
      <c r="H6" t="s">
        <v>64</v>
      </c>
      <c r="I6" t="s">
        <v>64</v>
      </c>
      <c r="J6" t="s">
        <v>65</v>
      </c>
      <c r="L6" t="s">
        <v>67</v>
      </c>
      <c r="M6" t="s">
        <v>83</v>
      </c>
      <c r="N6" t="s">
        <v>118</v>
      </c>
      <c r="O6" t="s">
        <v>40</v>
      </c>
      <c r="P6" t="s">
        <v>132</v>
      </c>
      <c r="R6" t="s">
        <v>60</v>
      </c>
      <c r="S6" t="s">
        <v>44</v>
      </c>
      <c r="T6" t="s">
        <v>83</v>
      </c>
    </row>
    <row r="7" spans="1:20" x14ac:dyDescent="0.3">
      <c r="H7" t="s">
        <v>68</v>
      </c>
      <c r="I7" t="s">
        <v>66</v>
      </c>
      <c r="L7" t="s">
        <v>69</v>
      </c>
      <c r="M7" t="s">
        <v>84</v>
      </c>
      <c r="N7" t="s">
        <v>119</v>
      </c>
      <c r="O7" t="s">
        <v>40</v>
      </c>
      <c r="P7" t="s">
        <v>133</v>
      </c>
      <c r="R7" t="s">
        <v>63</v>
      </c>
      <c r="S7" t="s">
        <v>44</v>
      </c>
      <c r="T7" t="s">
        <v>84</v>
      </c>
    </row>
    <row r="8" spans="1:20" x14ac:dyDescent="0.3">
      <c r="H8" t="s">
        <v>70</v>
      </c>
      <c r="L8" t="s">
        <v>71</v>
      </c>
      <c r="M8" t="s">
        <v>85</v>
      </c>
      <c r="N8" t="s">
        <v>120</v>
      </c>
      <c r="O8" t="s">
        <v>42</v>
      </c>
      <c r="P8" t="s">
        <v>124</v>
      </c>
      <c r="R8" t="s">
        <v>67</v>
      </c>
      <c r="S8" t="s">
        <v>44</v>
      </c>
      <c r="T8" t="s">
        <v>85</v>
      </c>
    </row>
    <row r="9" spans="1:20" x14ac:dyDescent="0.3">
      <c r="L9" t="s">
        <v>50</v>
      </c>
      <c r="M9" t="s">
        <v>86</v>
      </c>
      <c r="O9" t="s">
        <v>42</v>
      </c>
      <c r="P9" t="s">
        <v>131</v>
      </c>
      <c r="R9" t="s">
        <v>69</v>
      </c>
      <c r="S9" t="s">
        <v>44</v>
      </c>
      <c r="T9" t="s">
        <v>86</v>
      </c>
    </row>
    <row r="10" spans="1:20" x14ac:dyDescent="0.3">
      <c r="M10" t="s">
        <v>87</v>
      </c>
      <c r="O10" t="s">
        <v>42</v>
      </c>
      <c r="P10" t="s">
        <v>129</v>
      </c>
      <c r="R10" t="s">
        <v>71</v>
      </c>
      <c r="S10" t="s">
        <v>44</v>
      </c>
      <c r="T10" t="s">
        <v>87</v>
      </c>
    </row>
    <row r="11" spans="1:20" x14ac:dyDescent="0.3">
      <c r="M11" t="s">
        <v>88</v>
      </c>
      <c r="O11" t="s">
        <v>42</v>
      </c>
      <c r="P11" t="s">
        <v>128</v>
      </c>
      <c r="R11" t="s">
        <v>50</v>
      </c>
      <c r="S11" t="s">
        <v>44</v>
      </c>
      <c r="T11" t="s">
        <v>88</v>
      </c>
    </row>
    <row r="12" spans="1:20" x14ac:dyDescent="0.3">
      <c r="M12" t="s">
        <v>89</v>
      </c>
      <c r="O12" t="s">
        <v>43</v>
      </c>
      <c r="P12" t="s">
        <v>130</v>
      </c>
      <c r="S12" t="s">
        <v>45</v>
      </c>
      <c r="T12" t="s">
        <v>89</v>
      </c>
    </row>
    <row r="13" spans="1:20" x14ac:dyDescent="0.3">
      <c r="M13" t="s">
        <v>90</v>
      </c>
      <c r="O13" t="s">
        <v>134</v>
      </c>
      <c r="P13" t="s">
        <v>32</v>
      </c>
      <c r="S13" t="s">
        <v>45</v>
      </c>
      <c r="T13" t="s">
        <v>90</v>
      </c>
    </row>
    <row r="14" spans="1:20" x14ac:dyDescent="0.3">
      <c r="M14" t="s">
        <v>91</v>
      </c>
      <c r="S14" t="s">
        <v>45</v>
      </c>
      <c r="T14" t="s">
        <v>91</v>
      </c>
    </row>
    <row r="15" spans="1:20" x14ac:dyDescent="0.3">
      <c r="M15" t="s">
        <v>92</v>
      </c>
      <c r="S15" t="s">
        <v>45</v>
      </c>
      <c r="T15" t="s">
        <v>92</v>
      </c>
    </row>
    <row r="16" spans="1:20" x14ac:dyDescent="0.3">
      <c r="M16" t="s">
        <v>93</v>
      </c>
      <c r="S16" t="s">
        <v>45</v>
      </c>
      <c r="T16" t="s">
        <v>93</v>
      </c>
    </row>
    <row r="17" spans="13:20" x14ac:dyDescent="0.3">
      <c r="M17" t="s">
        <v>94</v>
      </c>
      <c r="S17" t="s">
        <v>45</v>
      </c>
      <c r="T17" t="s">
        <v>94</v>
      </c>
    </row>
    <row r="18" spans="13:20" x14ac:dyDescent="0.3">
      <c r="M18" t="s">
        <v>95</v>
      </c>
      <c r="S18" t="s">
        <v>45</v>
      </c>
      <c r="T18" t="s">
        <v>95</v>
      </c>
    </row>
    <row r="19" spans="13:20" x14ac:dyDescent="0.3">
      <c r="M19" t="s">
        <v>96</v>
      </c>
      <c r="S19" t="s">
        <v>45</v>
      </c>
      <c r="T19" t="s">
        <v>96</v>
      </c>
    </row>
    <row r="20" spans="13:20" x14ac:dyDescent="0.3">
      <c r="M20" t="s">
        <v>97</v>
      </c>
      <c r="S20" t="s">
        <v>45</v>
      </c>
      <c r="T20" t="s">
        <v>97</v>
      </c>
    </row>
    <row r="21" spans="13:20" x14ac:dyDescent="0.3">
      <c r="M21" t="s">
        <v>98</v>
      </c>
      <c r="S21" t="s">
        <v>45</v>
      </c>
      <c r="T21" t="s">
        <v>98</v>
      </c>
    </row>
    <row r="22" spans="13:20" x14ac:dyDescent="0.3">
      <c r="M22" t="s">
        <v>99</v>
      </c>
      <c r="S22" t="s">
        <v>45</v>
      </c>
      <c r="T22" t="s">
        <v>99</v>
      </c>
    </row>
    <row r="23" spans="13:20" x14ac:dyDescent="0.3">
      <c r="M23" t="s">
        <v>100</v>
      </c>
      <c r="S23" t="s">
        <v>46</v>
      </c>
      <c r="T23" t="s">
        <v>100</v>
      </c>
    </row>
    <row r="24" spans="13:20" x14ac:dyDescent="0.3">
      <c r="M24" t="s">
        <v>101</v>
      </c>
      <c r="S24" t="s">
        <v>46</v>
      </c>
      <c r="T24" t="s">
        <v>101</v>
      </c>
    </row>
    <row r="25" spans="13:20" x14ac:dyDescent="0.3">
      <c r="M25" t="s">
        <v>102</v>
      </c>
      <c r="S25" t="s">
        <v>46</v>
      </c>
      <c r="T25" t="s">
        <v>102</v>
      </c>
    </row>
    <row r="26" spans="13:20" x14ac:dyDescent="0.3">
      <c r="M26" t="s">
        <v>103</v>
      </c>
      <c r="S26" t="s">
        <v>46</v>
      </c>
      <c r="T26" t="s">
        <v>103</v>
      </c>
    </row>
    <row r="27" spans="13:20" x14ac:dyDescent="0.3">
      <c r="M27" t="s">
        <v>104</v>
      </c>
      <c r="S27" t="s">
        <v>46</v>
      </c>
      <c r="T27" t="s">
        <v>104</v>
      </c>
    </row>
    <row r="28" spans="13:20" x14ac:dyDescent="0.3">
      <c r="M28" t="s">
        <v>105</v>
      </c>
      <c r="S28" t="s">
        <v>46</v>
      </c>
      <c r="T28" t="s">
        <v>105</v>
      </c>
    </row>
    <row r="29" spans="13:20" x14ac:dyDescent="0.3">
      <c r="M29" t="s">
        <v>106</v>
      </c>
      <c r="S29" t="s">
        <v>46</v>
      </c>
      <c r="T29" t="s">
        <v>106</v>
      </c>
    </row>
    <row r="30" spans="13:20" x14ac:dyDescent="0.3">
      <c r="M30" t="s">
        <v>107</v>
      </c>
      <c r="S30" t="s">
        <v>46</v>
      </c>
      <c r="T30" t="s">
        <v>107</v>
      </c>
    </row>
    <row r="31" spans="13:20" x14ac:dyDescent="0.3">
      <c r="M31" t="s">
        <v>108</v>
      </c>
      <c r="S31" t="s">
        <v>46</v>
      </c>
      <c r="T31" t="s">
        <v>108</v>
      </c>
    </row>
    <row r="32" spans="13:20" x14ac:dyDescent="0.3">
      <c r="M32" t="s">
        <v>109</v>
      </c>
      <c r="S32" t="s">
        <v>46</v>
      </c>
      <c r="T32" t="s">
        <v>109</v>
      </c>
    </row>
    <row r="33" spans="13:20" x14ac:dyDescent="0.3">
      <c r="M33" t="s">
        <v>110</v>
      </c>
      <c r="S33" t="s">
        <v>46</v>
      </c>
      <c r="T33" t="s">
        <v>110</v>
      </c>
    </row>
    <row r="34" spans="13:20" x14ac:dyDescent="0.3">
      <c r="M34" t="s">
        <v>111</v>
      </c>
      <c r="S34" t="s">
        <v>46</v>
      </c>
      <c r="T34" t="s">
        <v>111</v>
      </c>
    </row>
    <row r="35" spans="13:20" x14ac:dyDescent="0.3">
      <c r="M35" t="s">
        <v>112</v>
      </c>
      <c r="S35" t="s">
        <v>46</v>
      </c>
      <c r="T35" t="s">
        <v>112</v>
      </c>
    </row>
  </sheetData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Informe</vt:lpstr>
      <vt:lpstr>Contabilidad</vt:lpstr>
      <vt:lpstr>Hallazgos</vt:lpstr>
      <vt:lpstr>Acuerdos</vt:lpstr>
      <vt:lpstr>Documentacion</vt:lpstr>
      <vt:lpstr>Reuniones</vt:lpstr>
      <vt:lpstr>Decisiones</vt:lpstr>
      <vt:lpstr>Catalogos</vt:lpstr>
      <vt:lpstr>FechaInicioReporte</vt:lpstr>
      <vt:lpstr>NombreProyecto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Javier Valdez</dc:creator>
  <cp:lastModifiedBy>Angel Javier Valdez</cp:lastModifiedBy>
  <cp:lastPrinted>2026-10-07T03:47:29Z</cp:lastPrinted>
  <dcterms:created xsi:type="dcterms:W3CDTF">2026-10-06T01:39:23Z</dcterms:created>
  <dcterms:modified xsi:type="dcterms:W3CDTF">2026-10-09T05:28:59Z</dcterms:modified>
</cp:coreProperties>
</file>